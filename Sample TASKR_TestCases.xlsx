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Login" sheetId="2" r:id="rId6"/>
    <sheet state="visible" name="OTP " sheetId="3" r:id="rId7"/>
    <sheet state="visible" name="Dashboard " sheetId="4" r:id="rId8"/>
    <sheet state="visible" name="Integration " sheetId="5" r:id="rId9"/>
    <sheet state="visible" name="Coverage Matrix" sheetId="6" r:id="rId10"/>
    <sheet state="visible" name="Risk Register" sheetId="7" r:id="rId11"/>
  </sheets>
  <definedNames>
    <definedName hidden="1" localSheetId="1" name="_xlnm._FilterDatabase">Login!$A$2:$I$37</definedName>
    <definedName hidden="1" localSheetId="2" name="_xlnm._FilterDatabase">'OTP '!$A$2:$I$31</definedName>
    <definedName hidden="1" localSheetId="3" name="_xlnm._FilterDatabase">'Dashboard '!$A$2:$I$53</definedName>
    <definedName hidden="1" localSheetId="4" name="_xlnm._FilterDatabase">'Integration '!$A$2:$I$9</definedName>
  </definedNames>
  <calcPr/>
</workbook>
</file>

<file path=xl/sharedStrings.xml><?xml version="1.0" encoding="utf-8"?>
<sst xmlns="http://schemas.openxmlformats.org/spreadsheetml/2006/main" count="1335" uniqueCount="882">
  <si>
    <t>TASKR  Test Case Document</t>
  </si>
  <si>
    <t>Login Screen  ·  OTP Verification Screen  ·  Dashboard Screen</t>
  </si>
  <si>
    <t>Prepared by</t>
  </si>
  <si>
    <t>RIDA KHAN (SQA ENGINEER)</t>
  </si>
  <si>
    <t>Version</t>
  </si>
  <si>
    <t>1.0</t>
  </si>
  <si>
    <t>Date</t>
  </si>
  <si>
    <t>Platform</t>
  </si>
  <si>
    <t>Web | Chromium  |  dev.taskr.co.uk</t>
  </si>
  <si>
    <t>Application</t>
  </si>
  <si>
    <t>TASKR | Staff Management Platform</t>
  </si>
  <si>
    <t>Auth State</t>
  </si>
  <si>
    <t>Logged-out (Login/OTP) · Logged-in (Dashboard)</t>
  </si>
  <si>
    <t>TEST CASE SUMMARY</t>
  </si>
  <si>
    <t>Screen</t>
  </si>
  <si>
    <t>Sheet</t>
  </si>
  <si>
    <t>P0 Tests</t>
  </si>
  <si>
    <t>P1 Tests</t>
  </si>
  <si>
    <t>P2 Tests</t>
  </si>
  <si>
    <t>Total TCs</t>
  </si>
  <si>
    <t>Coverage Areas</t>
  </si>
  <si>
    <t>Login Screen</t>
  </si>
  <si>
    <t>Login TCs</t>
  </si>
  <si>
    <t>12</t>
  </si>
  <si>
    <t>OTP Verification</t>
  </si>
  <si>
    <t>OTP TCs</t>
  </si>
  <si>
    <t>11</t>
  </si>
  <si>
    <t>Dashboard</t>
  </si>
  <si>
    <t>Dashboard TCs</t>
  </si>
  <si>
    <t>17</t>
  </si>
  <si>
    <t>Integration / E2E</t>
  </si>
  <si>
    <t>Integration TCs</t>
  </si>
  <si>
    <t>6</t>
  </si>
  <si>
    <t>TOTALS</t>
  </si>
  <si>
    <t>WORKBOOK SHEETS</t>
  </si>
  <si>
    <t>Description</t>
  </si>
  <si>
    <t>Summary</t>
  </si>
  <si>
    <t>This overview sheet metadata, counts, sheet index</t>
  </si>
  <si>
    <t>34 test cases covering Login screen (LGN-001 → LGN-034)</t>
  </si>
  <si>
    <t>28 test cases covering OTP Verification screen (OTP-001 → OTP-028)</t>
  </si>
  <si>
    <t>50 test cases covering Dashboard screen (DSH-001 → DSH-050)</t>
  </si>
  <si>
    <t>6 cross-screen end-to-end integration tests (E2E-001 → E2E-006)</t>
  </si>
  <si>
    <t>Coverage Matrix</t>
  </si>
  <si>
    <t>Functional coverage matrix for all three screens</t>
  </si>
  <si>
    <t>Risk Register</t>
  </si>
  <si>
    <t>Top 5 risks per screen with impact, likelihood &amp; mitigation</t>
  </si>
  <si>
    <t>Release Checklist</t>
  </si>
  <si>
    <t>Pre-release sanity checklist for all three screens</t>
  </si>
  <si>
    <t>LOGIN SCREEN  |   dev.taskr.co.uk/login</t>
  </si>
  <si>
    <t>ID</t>
  </si>
  <si>
    <t>Title</t>
  </si>
  <si>
    <t>Preconditions</t>
  </si>
  <si>
    <t>Test Steps</t>
  </si>
  <si>
    <t>Test Data</t>
  </si>
  <si>
    <t>Expected Result</t>
  </si>
  <si>
    <t>Priority</t>
  </si>
  <si>
    <t>Notes</t>
  </si>
  <si>
    <t>Automate?</t>
  </si>
  <si>
    <t>LGN-001</t>
  </si>
  <si>
    <t>Happy Path Login</t>
  </si>
  <si>
    <t>User logged out; valid credentials exist in test env</t>
  </si>
  <si>
    <t>1. Open dev.taskr.co.uk/login
2. Enter valid email
3. Enter valid password
4. Click Login</t>
  </si>
  <si>
    <t>Email: testadmin@taskr.co.uk
Password: ValidP@ss1!</t>
  </si>
  <si>
    <t>Page redirects to /otp?redirect=%2Fapp%2Fdashboard. No JS console errors. HTTP 200 from login API.</t>
  </si>
  <si>
    <t>P0</t>
  </si>
  <si>
    <t>Core smoke test. Run first in every build.</t>
  </si>
  <si>
    <t>Yes</t>
  </si>
  <si>
    <t>LGN-002</t>
  </si>
  <si>
    <t>Redirect Param Preserved</t>
  </si>
  <si>
    <r>
      <rPr>
        <rFont val="Arial"/>
        <color rgb="FF000000"/>
        <sz val="10.0"/>
      </rPr>
      <t xml:space="preserve">Logged out; navigate to </t>
    </r>
    <r>
      <rPr>
        <rFont val="Arial"/>
        <color rgb="FF1155CC"/>
        <sz val="10.0"/>
        <u/>
      </rPr>
      <t>https://dev.taskr.co.uk/login</t>
    </r>
  </si>
  <si>
    <t>1. Open URL with redirect param
2. Enter valid credentials
3. Click Login
4. Complete OTP</t>
  </si>
  <si>
    <r>
      <rPr>
        <rFont val="Arial"/>
        <color rgb="FF000000"/>
        <sz val="10.0"/>
      </rPr>
      <t xml:space="preserve">URL: </t>
    </r>
    <r>
      <rPr>
        <rFont val="Arial"/>
        <color rgb="FF1155CC"/>
        <sz val="10.0"/>
        <u/>
      </rPr>
      <t>https://dev.taskr.co.uk/login</t>
    </r>
  </si>
  <si>
    <t>After successful OTP, user lands on /app/dashboard — the original redirect target.</t>
  </si>
  <si>
    <t>Verify redirect param is passed through OTP screen and honoured post-verify.</t>
  </si>
  <si>
    <t>LGN-003</t>
  </si>
  <si>
    <t>Login with Remember Me Checked</t>
  </si>
  <si>
    <t>Logged out; browser cookie inspection tools available</t>
  </si>
  <si>
    <t>1. Enter valid credentials
2. Check 'Remember me' checkbox
3. Click Login
4. Complete OTP
5. Close all browser tabs
6. Reopen dev.taskr.co.uk</t>
  </si>
  <si>
    <t>Remember me: ✓ checked</t>
  </si>
  <si>
    <t>User is still authenticated on reopening. Cookie is persistent (Expires set, not session-scoped). Cookie attributes: Secure, HttpOnly, SameSite=Lax or Strict.</t>
  </si>
  <si>
    <t>P1</t>
  </si>
  <si>
    <t>Inspect Set-Cookie header in DevTools Network tab.</t>
  </si>
  <si>
    <t>LGN-004</t>
  </si>
  <si>
    <t>Login without Remember Me (default)</t>
  </si>
  <si>
    <t>Logged out</t>
  </si>
  <si>
    <t>1. Enter valid credentials (Remember me unchecked)
2. Login → OTP → Dashboard
3. Close all browser tabs
4. Reopen app URL</t>
  </si>
  <si>
    <t>Remember me: unchecked (default state)</t>
  </si>
  <si>
    <t>User is redirected to /login. Session cookie is absent or marked as session-only (no Expires/Max-Age).</t>
  </si>
  <si>
    <t>Session cookie should expire when browser session ends.</t>
  </si>
  <si>
    <t>LGN-005</t>
  </si>
  <si>
    <t>Submit — Empty Email</t>
  </si>
  <si>
    <t>1. Leave email field blank
2. Enter any password
3. Click Login</t>
  </si>
  <si>
    <t>Email: (empty)
Password: anyValue</t>
  </si>
  <si>
    <t>Inline error displayed: 'Email address is required' (or similar). Login API not called. User stays on login page.</t>
  </si>
  <si>
    <t>Client-side validation. Verify no XHR made.</t>
  </si>
  <si>
    <t>LGN-006</t>
  </si>
  <si>
    <t>Submit — Empty Password</t>
  </si>
  <si>
    <t>1. Enter valid email
2. Leave password blank
3. Click Login</t>
  </si>
  <si>
    <t>Email: valid@email.com
Password: (empty)</t>
  </si>
  <si>
    <t>Inline error: 'Password is required'. Login API not called.</t>
  </si>
  <si>
    <t>LGN-007</t>
  </si>
  <si>
    <t>Submit — Both Fields Empty</t>
  </si>
  <si>
    <t>1. Click Login without filling any field</t>
  </si>
  <si>
    <t>Email: (empty)
Password: (empty)</t>
  </si>
  <si>
    <t>Both fields show required-field error messages simultaneously. No API call made.</t>
  </si>
  <si>
    <t>LGN-008</t>
  </si>
  <si>
    <t>Invalid Email Format</t>
  </si>
  <si>
    <t>1. Enter malformed email address
2. Enter any password
3. Click Login</t>
  </si>
  <si>
    <t>Email: notanemail (also test: a@, @b.com, user @domain.com)
Password: Any</t>
  </si>
  <si>
    <t>Inline validation error: 'Please enter a valid email address'. No API call.</t>
  </si>
  <si>
    <t>Parameterise with 4 invalid email variants.</t>
  </si>
  <si>
    <t>LGN-009</t>
  </si>
  <si>
    <t>Wrong Password — Known Account</t>
  </si>
  <si>
    <t>Logged out; known test account</t>
  </si>
  <si>
    <t>1. Enter correct email for known account
2. Enter incorrect password
3. Click Login</t>
  </si>
  <si>
    <t>Email: testadmin@taskr.co.uk
Password: WrongPass99</t>
  </si>
  <si>
    <t>Generic error: 'Invalid email or password'. Does NOT reveal which field is wrong. User stays on login. HTTP 401.</t>
  </si>
  <si>
    <t>Security: generic message prevents account enumeration.</t>
  </si>
  <si>
    <t>LGN-010</t>
  </si>
  <si>
    <t>Unknown Email Address</t>
  </si>
  <si>
    <t>1. Enter unregistered email
2. Enter any password
3. Click Login</t>
  </si>
  <si>
    <t>Email: unknown@notexist.com
Password: anyPass</t>
  </si>
  <si>
    <t>Same generic error as LGN-009. Response time should not differ measurably from wrong-password case (anti-timing-attack).</t>
  </si>
  <si>
    <t>Security: no account enumeration via different errors or response times.</t>
  </si>
  <si>
    <t>LGN-011</t>
  </si>
  <si>
    <t>Brute-Force Lockout</t>
  </si>
  <si>
    <t>Rate-limit / lockout testing env</t>
  </si>
  <si>
    <t>1. Enter valid email
2. Enter wrong password
3. Click Login — repeat 5+ times rapidly</t>
  </si>
  <si>
    <t>5+ failed attempts with valid email</t>
  </si>
  <si>
    <t>After N failures (agreed threshold), account locked or CAPTCHA presented. Error: 'Too many attempts, please try again in X minutes.' HTTP 429.</t>
  </si>
  <si>
    <t>Confirm lockout threshold with backend team. Check Retry-After header.</t>
  </si>
  <si>
    <t>LGN-012</t>
  </si>
  <si>
    <t>Max-Length Email (254 chars)</t>
  </si>
  <si>
    <t>1. Paste 254-character valid-format email into email field
2. Enter password
3. Click Login</t>
  </si>
  <si>
    <t>Email: a[×249]@b.com (254 chars total)
Password: any</t>
  </si>
  <si>
    <t>Field accepts input without truncation or crash. Server returns expected error (user not found) gracefully.</t>
  </si>
  <si>
    <t>P2</t>
  </si>
  <si>
    <t>RFC 5321 max email length boundary test.</t>
  </si>
  <si>
    <t>No</t>
  </si>
  <si>
    <t>LGN-013</t>
  </si>
  <si>
    <t>Email with Leading/Trailing Whitespace</t>
  </si>
  <si>
    <t>1. Type '  testadmin@taskr.co.uk  ' with spaces
2. Enter valid password
3. Click Login</t>
  </si>
  <si>
    <t>Email: ' testadmin@taskr.co.uk ' (with surrounding spaces)</t>
  </si>
  <si>
    <t>App trims whitespace and authenticates successfully OR shows clear validation error. Does NOT silently fail.</t>
  </si>
  <si>
    <t>Regression risk if backend does strict matching.</t>
  </si>
  <si>
    <t>LGN-014</t>
  </si>
  <si>
    <t>SQL Injection in Email Field</t>
  </si>
  <si>
    <t>1. Enter SQL payload in email field
2. Enter any password
3. Click Login</t>
  </si>
  <si>
    <t>Email: ' OR '1'='1
Also test: admin'--
Password: anything</t>
  </si>
  <si>
    <t>Login fails with standard invalid-credentials error. No DB error message exposed. Response time normal. HTTP 401.</t>
  </si>
  <si>
    <t>Security. No stack trace, no DB error text in response.</t>
  </si>
  <si>
    <t>LGN-015</t>
  </si>
  <si>
    <t>XSS Payload in Password Field</t>
  </si>
  <si>
    <t>1. Enter valid email
2. Enter XSS payload as password
3. Click Login</t>
  </si>
  <si>
    <t>Password: &lt;script&gt;alert(1)&lt;/script&gt;</t>
  </si>
  <si>
    <t>Error message shown as plain text. No script tag executes. No reflected XSS in any response.</t>
  </si>
  <si>
    <t>Security. Check response body and error message rendering.</t>
  </si>
  <si>
    <t>LGN-016</t>
  </si>
  <si>
    <t>Unicode / Emoji in Password</t>
  </si>
  <si>
    <t>Account created with unicode password</t>
  </si>
  <si>
    <t>1. Enter email
2. Enter unicode/emoji password
3. Click Login</t>
  </si>
  <si>
    <t>Password: Pässw0rd🔒</t>
  </si>
  <si>
    <t>Login succeeds if password matches; generic error if not. No character encoding exception or server crash.</t>
  </si>
  <si>
    <t>i18n / encoding robustness.</t>
  </si>
  <si>
    <t>LGN-017</t>
  </si>
  <si>
    <t>Password Visibility Toggle — Show</t>
  </si>
  <si>
    <t>1. Type password into password field
2. Click eye icon once</t>
  </si>
  <si>
    <t>Password: MySecret123</t>
  </si>
  <si>
    <t>Field type changes from 'password' to 'text'. Characters become visible. Eye icon state changes to 'hide'. aria-label updates to 'Hide password'.</t>
  </si>
  <si>
    <t>WCAG: aria-label must update to reflect new state.</t>
  </si>
  <si>
    <t>LGN-018</t>
  </si>
  <si>
    <t>Password Visibility Toggle — Hide</t>
  </si>
  <si>
    <t>1. Type password
2. Click eye icon to show
3. Click eye icon again to hide</t>
  </si>
  <si>
    <t>Field type returns to 'password'. Characters masked again. Icon reverts to 'show' state.</t>
  </si>
  <si>
    <t>LGN-019</t>
  </si>
  <si>
    <t>Tab Order and Keyboard Navigation</t>
  </si>
  <si>
    <t>1. Load login page
2. Press Tab repeatedly to move through all interactive elements
3. Note focus sequence</t>
  </si>
  <si>
    <t>Keyboard only — no mouse</t>
  </si>
  <si>
    <t>Focus order: Email input → Password input → Remember Me checkbox → Login button → Forgot password link (or matching DOM order). Focus ring visible on each element.</t>
  </si>
  <si>
    <t>WCAG 2.1 SC 2.4.3 Focus Order.</t>
  </si>
  <si>
    <t>LGN-020</t>
  </si>
  <si>
    <t>Screen Reader Labels</t>
  </si>
  <si>
    <t>NVDA or VoiceOver available</t>
  </si>
  <si>
    <t>1. Navigate to login with screen reader active
2. Read all interactive elements</t>
  </si>
  <si>
    <t>Screen reader enabled (NVDA on Chrome or VoiceOver on Safari)</t>
  </si>
  <si>
    <t>Email field announced: 'Email address, required, edit field'. Password: 'Password, required'. Error messages announced via aria-live region. Remember Me announced as checkbox with state.</t>
  </si>
  <si>
    <t>WCAG 1.3.1, 4.1.3.</t>
  </si>
  <si>
    <t>LGN-021</t>
  </si>
  <si>
    <t>Colour Contrast — Labels &amp; Placeholders</t>
  </si>
  <si>
    <t>axe DevTools or browser inspector</t>
  </si>
  <si>
    <t>1. Install axe DevTools
2. Run scan on login page
3. Review contrast results</t>
  </si>
  <si>
    <t>N/A</t>
  </si>
  <si>
    <t>All text passes WCAG AA contrast ratios: 4.5:1 for normal text, 3:1 for large text. Red asterisk (*) not the sole error indicator.</t>
  </si>
  <si>
    <t>WCAG 1.4.3.</t>
  </si>
  <si>
    <t>LGN-022</t>
  </si>
  <si>
    <t>HTTPS Enforced</t>
  </si>
  <si>
    <t>HTTP URL attempted</t>
  </si>
  <si>
    <t>1. Navigate to http://dev.taskr.co.uk/login (HTTP)</t>
  </si>
  <si>
    <t>HTTP URL</t>
  </si>
  <si>
    <t>Server/browser redirects to HTTPS automatically. No credentials ever transmitted over plain HTTP.</t>
  </si>
  <si>
    <t>Security — transport layer.</t>
  </si>
  <si>
    <t>LGN-023</t>
  </si>
  <si>
    <t>CSRF Token Present</t>
  </si>
  <si>
    <t>Browser DevTools / Burp Suite proxy</t>
  </si>
  <si>
    <t>1. Log in normally
2. Inspect POST request to /api/auth/login in Network tab
3. Attempt to replay request without CSRF token</t>
  </si>
  <si>
    <t>Captured POST request</t>
  </si>
  <si>
    <t>Request contains anti-CSRF token in header or body. Replaying without token returns HTTP 403.</t>
  </si>
  <si>
    <t>Security.</t>
  </si>
  <si>
    <t>LGN-024</t>
  </si>
  <si>
    <t>No Credentials in URL</t>
  </si>
  <si>
    <t>1. Enter credentials
2. Click Login
3. Inspect browser URL bar and Network tab</t>
  </si>
  <si>
    <t>Valid credentials</t>
  </si>
  <si>
    <t>Credentials sent via POST body only. Password never appears in URL, query string, browser history, or network log URL field.</t>
  </si>
  <si>
    <t>LGN-025</t>
  </si>
  <si>
    <t>Page Load Performance</t>
  </si>
  <si>
    <t>Clean browser cache</t>
  </si>
  <si>
    <t>1. Clear cache and cookies
2. Open login page with DevTools Performance tab
3. Record load metrics</t>
  </si>
  <si>
    <t>Throttled to Fast 3G in DevTools</t>
  </si>
  <si>
    <t>Page fully interactive &lt; 5 s on 3G. LCP &lt; 2.5 s on desktop unthrottled. CLS &lt; 0.1. No render-blocking scripts.</t>
  </si>
  <si>
    <t>Use Lighthouse for automated measurement.</t>
  </si>
  <si>
    <t>LGN-026</t>
  </si>
  <si>
    <t>Login Button Loading State</t>
  </si>
  <si>
    <t>1. Enter valid credentials
2. Click Login
3. Observe button immediately after click</t>
  </si>
  <si>
    <t>Button enters disabled/loading state (spinner visible) immediately. Prevents double-submit. Re-enables only on response.</t>
  </si>
  <si>
    <t>UX / race condition prevention.</t>
  </si>
  <si>
    <t>LGN-027</t>
  </si>
  <si>
    <t>Server 500 Error on Login</t>
  </si>
  <si>
    <t>API mocked to return 500</t>
  </si>
  <si>
    <t>1. Configure mock server to return 500
2. Enter valid credentials
3. Click Login</t>
  </si>
  <si>
    <t>POST /api/auth/login → HTTP 500</t>
  </si>
  <si>
    <t>User-friendly error shown: 'Something went wrong, please try again.' App does not crash. No stack trace exposed to user.</t>
  </si>
  <si>
    <t>Error handling. Use Playwright page.route() to mock.</t>
  </si>
  <si>
    <t>LGN-028</t>
  </si>
  <si>
    <t>Network Timeout</t>
  </si>
  <si>
    <t>DevTools offline simulation</t>
  </si>
  <si>
    <t>1. Enter valid credentials
2. Click Login
3. Immediately set DevTools to 'Offline'</t>
  </si>
  <si>
    <t>Simulated offline / timeout</t>
  </si>
  <si>
    <t>Timeout error shown: 'Network error, please check your connection.' App does not hang indefinitely. Button re-enables.</t>
  </si>
  <si>
    <t>Error handling.</t>
  </si>
  <si>
    <t>LGN-029</t>
  </si>
  <si>
    <t>Forgot Password Link — Navigation</t>
  </si>
  <si>
    <t>1. Click 'Forgot password?' link</t>
  </si>
  <si>
    <t>User navigated to password-reset screen. URL changes to /forgot-password or equivalent.</t>
  </si>
  <si>
    <t>LGN-030</t>
  </si>
  <si>
    <t>Forgot Password — Keyboard Access</t>
  </si>
  <si>
    <t>1. Tab to 'Forgot password?' link
2. Press Enter</t>
  </si>
  <si>
    <t>Keyboard only</t>
  </si>
  <si>
    <t>Same navigation result as mouse click. Link is focusable and activatable via keyboard.</t>
  </si>
  <si>
    <t>WCAG 2.1.1.</t>
  </si>
  <si>
    <t>LGN-031</t>
  </si>
  <si>
    <t>Open Redirect Prevention</t>
  </si>
  <si>
    <t>1. Manually edit URL to: /login?redirect=https://evil.com
2. Enter valid credentials
3. Complete login</t>
  </si>
  <si>
    <t>redirect param: https://evil.com (external domain)</t>
  </si>
  <si>
    <t>App does NOT redirect to external domain after login. Redirects to /app/dashboard or shows error. HTTP 400 on malicious redirect.</t>
  </si>
  <si>
    <t>Security — open redirect prevention.</t>
  </si>
  <si>
    <t>LGN-032</t>
  </si>
  <si>
    <t>Already-Authenticated User Visits Login</t>
  </si>
  <si>
    <t>Valid active session</t>
  </si>
  <si>
    <t>1. While authenticated, navigate directly to /login</t>
  </si>
  <si>
    <t>Valid session cookie present</t>
  </si>
  <si>
    <t>App redirects authenticated user to /app/dashboard without showing login form.</t>
  </si>
  <si>
    <t>Session handling — auth guard.</t>
  </si>
  <si>
    <t>LGN-033</t>
  </si>
  <si>
    <t>Responsive Layout — Narrow Viewport</t>
  </si>
  <si>
    <t>1. Resize browser to 375 px wide (iPhone SE)
2. Inspect login form layout</t>
  </si>
  <si>
    <t>Viewport width: 375 px</t>
  </si>
  <si>
    <t>All form elements visible and usable. Promo panel may be hidden on mobile. No horizontal scroll. Input fields full-width and easily tappable.</t>
  </si>
  <si>
    <t>Responsive design.</t>
  </si>
  <si>
    <t>LGN-034</t>
  </si>
  <si>
    <t>Malformed JSON Server Response</t>
  </si>
  <si>
    <t>API mock returns invalid JSON</t>
  </si>
  <si>
    <t>1. Configure mock to return 200 with body: 'not valid json'
2. Enter credentials
3. Click Login</t>
  </si>
  <si>
    <t>API response: 200 OK, body = 'not json'</t>
  </si>
  <si>
    <t>App shows generic error message. Does not throw unhandled exception or blank screen. Graceful JSON parse failure handling.</t>
  </si>
  <si>
    <t>Resilience / error handling.</t>
  </si>
  <si>
    <t>OTP VERIFICATION   |   dev.taskr.co.uk/otp</t>
  </si>
  <si>
    <t>OTP-001</t>
  </si>
  <si>
    <t>Happy Path — Correct OTP</t>
  </si>
  <si>
    <t>Login completed on Login screen; OTP received in email inbox</t>
  </si>
  <si>
    <t>1. Complete login step
2. Navigate to /otp screen
3. Retrieve 4-digit OTP from email
4. Enter OTP in field
5. Click Verify</t>
  </si>
  <si>
    <t>OTP: valid 4-digit code from email</t>
  </si>
  <si>
    <t>User redirected to /app/dashboard. Session fully established. HTTP 200 from /api/auth/verify-otp.</t>
  </si>
  <si>
    <t>Core smoke test. Automate with Mailhog/Mailpit email interception in test env.</t>
  </si>
  <si>
    <t>OTP-002</t>
  </si>
  <si>
    <t>Redirect Param Honoured After OTP</t>
  </si>
  <si>
    <t>Login with redirect param; OTP screen loaded</t>
  </si>
  <si>
    <t>1. Enter correct OTP
2. Click Verify</t>
  </si>
  <si>
    <r>
      <rPr>
        <rFont val="Arial"/>
        <color rgb="FF000000"/>
        <sz val="10.0"/>
      </rPr>
      <t xml:space="preserve">OTP: valid; URL: </t>
    </r>
    <r>
      <rPr>
        <rFont val="Arial"/>
        <color rgb="FF1155CC"/>
        <sz val="10.0"/>
        <u/>
      </rPr>
      <t>https://dev.taskr.co.uk/otp</t>
    </r>
  </si>
  <si>
    <t>User lands on /app/dashboard (original redirect target), not app root.</t>
  </si>
  <si>
    <t>OTP-003</t>
  </si>
  <si>
    <t>Submit — Empty OTP Field</t>
  </si>
  <si>
    <t>OTP screen loaded</t>
  </si>
  <si>
    <t>1. Leave OTP field empty
2. Click Verify</t>
  </si>
  <si>
    <t>OTP: (empty)</t>
  </si>
  <si>
    <t>Inline error: 'Please enter the OTP'. Verify API not called. User stays on OTP screen.</t>
  </si>
  <si>
    <t>Client-side validation.</t>
  </si>
  <si>
    <t>OTP-004</t>
  </si>
  <si>
    <t>Non-Numeric Characters in OTP</t>
  </si>
  <si>
    <t>1. Type letters/symbols into OTP field
2. Click Verify</t>
  </si>
  <si>
    <t>OTP: abcd  /  !@#$  /  AB12</t>
  </si>
  <si>
    <t>Field rejects non-numeric input (pattern attribute or JS filter) OR validation error shown: 'OTP must be 4 digits'. API not called.</t>
  </si>
  <si>
    <t>type=tel or inputmode=numeric should restrict on mobile; test desktop too.</t>
  </si>
  <si>
    <t>OTP-005</t>
  </si>
  <si>
    <t>OTP Too Short (&lt; 4 digits)</t>
  </si>
  <si>
    <t>1. Enter 1–3 digit value
2. Click Verify</t>
  </si>
  <si>
    <t>OTP: 1  /  12  /  123</t>
  </si>
  <si>
    <t>Validation error: 'OTP must be 4 digits'. Verify API not called.</t>
  </si>
  <si>
    <t>Client-side maxlength or length check.</t>
  </si>
  <si>
    <t>OTP-006</t>
  </si>
  <si>
    <t>OTP Too Long (&gt; 4 digits)</t>
  </si>
  <si>
    <t>1. Attempt to type 5 or more digits</t>
  </si>
  <si>
    <t>OTP: 12345 (5 digits)</t>
  </si>
  <si>
    <t>Field caps at 4 characters (maxlength=4). 5th character not accepted OR error shown on submit.</t>
  </si>
  <si>
    <t>OTP-007</t>
  </si>
  <si>
    <t>Wrong OTP — Incorrect Code</t>
  </si>
  <si>
    <t>1. Enter incorrect 4-digit OTP
2. Click Verify</t>
  </si>
  <si>
    <t>OTP: 0000 (known incorrect)</t>
  </si>
  <si>
    <t>Error: 'Invalid OTP. Please try again.' User stays on OTP screen. Attempt counter increments server-side. HTTP 401.</t>
  </si>
  <si>
    <t>OTP-008</t>
  </si>
  <si>
    <t>Expired OTP</t>
  </si>
  <si>
    <t>OTP received; wait past expiry window (e.g., 5 min)</t>
  </si>
  <si>
    <t>1. Receive OTP
2. Wait for expiry period to pass
3. Enter expired OTP
4. Click Verify</t>
  </si>
  <si>
    <t>OTP: original code entered after expiry</t>
  </si>
  <si>
    <t>Error: 'OTP has expired. Please request a new code.' Resend option highlighted/offered.</t>
  </si>
  <si>
    <t>Use test-env flag or time manipulation to set OTP expiry to 0 in CI.</t>
  </si>
  <si>
    <t>OTP-009</t>
  </si>
  <si>
    <t>Resend Disabled During Countdown</t>
  </si>
  <si>
    <t>OTP screen loaded; timer active</t>
  </si>
  <si>
    <t>1. Observe 'Resend' control while countdown is &gt; 0 seconds
2. Attempt to click/activate resend</t>
  </si>
  <si>
    <t>Timer: &gt; 0 seconds</t>
  </si>
  <si>
    <t>Resend button/link is visually disabled (greyed out) and not clickable while countdown &gt; 0.</t>
  </si>
  <si>
    <t>OTP-010</t>
  </si>
  <si>
    <t>Resend Enabled After Countdown Reaches 0</t>
  </si>
  <si>
    <t>1. Wait for countdown timer to reach 0
2. Observe resend control</t>
  </si>
  <si>
    <t>Timer: reaches 0 seconds</t>
  </si>
  <si>
    <t>Resend button/link becomes active (enabled, clickable). UI updates immediately at 0.</t>
  </si>
  <si>
    <t>Use Playwright fake timers to advance time deterministically.</t>
  </si>
  <si>
    <t>OTP-011</t>
  </si>
  <si>
    <t>Resend Generates New OTP</t>
  </si>
  <si>
    <t>Countdown reached 0</t>
  </si>
  <si>
    <t>1. Click Resend
2. Check email inbox</t>
  </si>
  <si>
    <t>Resend clicked</t>
  </si>
  <si>
    <t>New OTP received in email. New countdown timer restarts from ~60 s. API called: POST /api/auth/resend-otp.</t>
  </si>
  <si>
    <t>OTP-012</t>
  </si>
  <si>
    <t>Old OTP Invalid After Resend</t>
  </si>
  <si>
    <t>New OTP sent via resend</t>
  </si>
  <si>
    <t>1. Note first OTP received
2. Click Resend (new OTP sent)
3. Enter original first OTP
4. Click Verify</t>
  </si>
  <si>
    <t>OTP: first/original code (now superseded)</t>
  </si>
  <si>
    <t>Error: 'Invalid OTP'. Only most recently issued OTP is accepted. Previous OTP invalidated server-side.</t>
  </si>
  <si>
    <t>Security — prevents OTP accumulation attacks.</t>
  </si>
  <si>
    <t>OTP-013</t>
  </si>
  <si>
    <t>Multiple Rapid Resend Attempts</t>
  </si>
  <si>
    <t>Countdown at 0</t>
  </si>
  <si>
    <t>1. Click Resend 5+ times in quick succession</t>
  </si>
  <si>
    <t>Rapid resend clicks</t>
  </si>
  <si>
    <t>Rate limiting applied after N resends. Further resend blocked: 'Too many requests, please wait.' HTTP 429.</t>
  </si>
  <si>
    <t>Security / abuse prevention.</t>
  </si>
  <si>
    <t>OTP-014</t>
  </si>
  <si>
    <t>Max Wrong OTP Retries → Lockout</t>
  </si>
  <si>
    <t>Known incorrect OTP</t>
  </si>
  <si>
    <t>1. Enter wrong OTP
2. Click Verify
3. Repeat steps 1-2 five or more times</t>
  </si>
  <si>
    <t>OTP: 0000 (wrong) × 5+</t>
  </si>
  <si>
    <t>After N failures, user locked out: redirected to /login with message 'Too many failed attempts. Please log in again.' Partial session invalidated.</t>
  </si>
  <si>
    <t>Confirm threshold N with backend spec. Critical security control.</t>
  </si>
  <si>
    <t>OTP-015</t>
  </si>
  <si>
    <t>Sign In with Different Email</t>
  </si>
  <si>
    <t>OTP screen active</t>
  </si>
  <si>
    <t>1. Click 'Sign in with different email address' button</t>
  </si>
  <si>
    <t>User redirected to /login. Partial auth state cleared server-side. No auto-fill of previous email.</t>
  </si>
  <si>
    <t>Verify partial session token invalidated server-side.</t>
  </si>
  <si>
    <t>OTP-016</t>
  </si>
  <si>
    <t>Direct Navigation to /otp Without Login</t>
  </si>
  <si>
    <t>No prior login step; logged out</t>
  </si>
  <si>
    <t>1. Clear cookies
2. Navigate directly to dev.taskr.co.uk/otp</t>
  </si>
  <si>
    <t>No prior login; no partial session</t>
  </si>
  <si>
    <t>User redirected to /login. OTP screen not accessible without completing credential step.</t>
  </si>
  <si>
    <t>Security — authentication flow bypass prevention.</t>
  </si>
  <si>
    <t>OTP-017</t>
  </si>
  <si>
    <t>OTP Not Exposed in URL or Logs</t>
  </si>
  <si>
    <t>1. Monitor URL bar and DevTools Network during verification
2. Check console logs</t>
  </si>
  <si>
    <t>DevTools open</t>
  </si>
  <si>
    <t>OTP value sent in POST body only. Never in URL, query string, browser address bar, or console output.</t>
  </si>
  <si>
    <t>OTP-018</t>
  </si>
  <si>
    <t>Replay Attack — Reuse of Already-Used OTP</t>
  </si>
  <si>
    <t>OTP previously verified successfully</t>
  </si>
  <si>
    <t>1. Use valid OTP to log in
2. Log out
3. Initiate new login
4. On OTP screen, enter the previously used OTP</t>
  </si>
  <si>
    <t>OTP: previously verified code</t>
  </si>
  <si>
    <t>Second use rejected: 'Invalid or already used OTP.' OTP is single-use, enforced server-side.</t>
  </si>
  <si>
    <t>Security — single-use enforcement.</t>
  </si>
  <si>
    <t>OTP-019</t>
  </si>
  <si>
    <t>Timer Accuracy</t>
  </si>
  <si>
    <t>1. Load OTP screen
2. Use external stopwatch to time the countdown</t>
  </si>
  <si>
    <t>External stopwatch comparison</t>
  </si>
  <si>
    <t>Client timer counts down accurately within ±1 second per 60 s. Does not drift or skip.</t>
  </si>
  <si>
    <t>UX. Timer is cosmetic; server-side expiry is authoritative.</t>
  </si>
  <si>
    <t>OTP-020</t>
  </si>
  <si>
    <t>1. Use Tab key to navigate all interactive elements on OTP screen</t>
  </si>
  <si>
    <t>Tab order: OTP input → Verify button → 'Sign in with different email'. Focus ring visible on each. All elements reachable.</t>
  </si>
  <si>
    <t>WCAG 2.4.3.</t>
  </si>
  <si>
    <t>OTP-021</t>
  </si>
  <si>
    <t>Screen Reader — Timer Countdown Announcements</t>
  </si>
  <si>
    <t>NVDA / VoiceOver</t>
  </si>
  <si>
    <t>1. Load OTP screen with screen reader
2. Listen for timer update announcements</t>
  </si>
  <si>
    <t>Screen reader active</t>
  </si>
  <si>
    <t>Timer uses aria-live='polite'. Not announced every second (too noisy). Announced at key intervals (e.g., when resend activates at 0 s).</t>
  </si>
  <si>
    <t>WCAG 4.1.3 Status Messages.</t>
  </si>
  <si>
    <t>OTP-022</t>
  </si>
  <si>
    <t>Screen Reader — Error Message Announcement</t>
  </si>
  <si>
    <t>1. Submit empty OTP field
2. Listen for error announcement with screen reader</t>
  </si>
  <si>
    <t>Error message immediately announced via aria-live='assertive' or focus moved programmatically to error.</t>
  </si>
  <si>
    <t>WCAG 1.3.1.</t>
  </si>
  <si>
    <t>OTP-023</t>
  </si>
  <si>
    <t>Colour Contrast — OTP Screen</t>
  </si>
  <si>
    <t>axe DevTools</t>
  </si>
  <si>
    <t>1. Run axe scan on OTP screen
2. Trigger validation error
3. Re-run scan</t>
  </si>
  <si>
    <t>All text and error messages meet WCAG AA contrast ratios (4.5:1 normal, 3:1 large). Error state meets same ratios.</t>
  </si>
  <si>
    <t>OTP-024</t>
  </si>
  <si>
    <t>Server 500 on Verify</t>
  </si>
  <si>
    <t>1. Configure mock: POST /api/auth/verify-otp → 500
2. Enter valid OTP
3. Click Verify</t>
  </si>
  <si>
    <t>API: HTTP 500</t>
  </si>
  <si>
    <t>User-friendly error: 'Something went wrong. Please try again.' App does not crash. Verify button re-enables.</t>
  </si>
  <si>
    <t>Error handling. Use Playwright page.route().</t>
  </si>
  <si>
    <t>OTP-025</t>
  </si>
  <si>
    <t>Network Timeout on Verify</t>
  </si>
  <si>
    <t>DevTools offline</t>
  </si>
  <si>
    <t>1. Enter valid OTP
2. Click Verify
3. Immediately set DevTools to Offline</t>
  </si>
  <si>
    <t>Simulated network offline</t>
  </si>
  <si>
    <t>Timeout error shown: 'Network error.' Button returns to active state. User can retry.</t>
  </si>
  <si>
    <t>OTP-026</t>
  </si>
  <si>
    <t>Verify Button Loading State</t>
  </si>
  <si>
    <t>1. Enter valid OTP
2. Click Verify
3. Observe button state immediately</t>
  </si>
  <si>
    <t>Valid OTP</t>
  </si>
  <si>
    <t>Button enters disabled/loading state immediately, preventing double-submit. Re-enables on response.</t>
  </si>
  <si>
    <t>OTP-027</t>
  </si>
  <si>
    <t>Paste OTP from Clipboard</t>
  </si>
  <si>
    <t>OTP received in email</t>
  </si>
  <si>
    <t>1. Copy OTP from email
2. Click OTP field
3. Paste (Ctrl+V / Cmd+V)</t>
  </si>
  <si>
    <t>Clipboard: '1234'</t>
  </si>
  <si>
    <t>OTP pasted successfully into field. No content stripping. Single-paste workflow works.</t>
  </si>
  <si>
    <t>Common real-user behaviour. Blocking paste is a UX anti-pattern.</t>
  </si>
  <si>
    <t>OTP-028</t>
  </si>
  <si>
    <t>Numeric Keyboard on Mobile</t>
  </si>
  <si>
    <t>Mobile browser or DevTools mobile emulation</t>
  </si>
  <si>
    <t>1. Open OTP screen on mobile viewport
2. Tap OTP input field</t>
  </si>
  <si>
    <t>Mobile viewport (375 px)</t>
  </si>
  <si>
    <t>Numeric keypad appears on mobile (inputmode='numeric' or type='tel'). Easier OTP entry.</t>
  </si>
  <si>
    <t>Mobile UX.</t>
  </si>
  <si>
    <t>DASHBOARD   |   dev.taskr.co.uk/app/dashboard</t>
  </si>
  <si>
    <t>DSH-001</t>
  </si>
  <si>
    <t>Dashboard Loads for Authenticated User</t>
  </si>
  <si>
    <t>User fully logged in (post-OTP); valid session</t>
  </si>
  <si>
    <t>1. Navigate to /app/dashboard</t>
  </si>
  <si>
    <t>Valid session cookie</t>
  </si>
  <si>
    <t>Page loads successfully. All 5 widget sections visible: Scheduled Health, Leave Request, Important Events, Schedule Overview, Compliance Overview. No console errors.</t>
  </si>
  <si>
    <t>Core smoke test. Automate.</t>
  </si>
  <si>
    <t>DSH-002</t>
  </si>
  <si>
    <t>Unauthenticated Access Redirected to Login</t>
  </si>
  <si>
    <t>No active session; all cookies cleared</t>
  </si>
  <si>
    <t>1. Clear all cookies
2. Navigate directly to /app/dashboard</t>
  </si>
  <si>
    <t>No auth cookie</t>
  </si>
  <si>
    <t>User redirected to /login?redirect=%2Fapp%2Fdashboard. Dashboard content not shown. HTTP 401 or 302.</t>
  </si>
  <si>
    <t>Security — auth gate.</t>
  </si>
  <si>
    <t>DSH-003</t>
  </si>
  <si>
    <t>Expired Session Mid-Use Redirected</t>
  </si>
  <si>
    <t>Session expires while actively on dashboard</t>
  </si>
  <si>
    <t>1. Login, reach dashboard
2. Expire session (delete cookie or use API)
3. Click any widget action button</t>
  </si>
  <si>
    <t>Session expired</t>
  </si>
  <si>
    <t>User redirected to /login. No sensitive data displayed after expiry. Appropriate error/notification shown.</t>
  </si>
  <si>
    <t>DSH-004</t>
  </si>
  <si>
    <t>Scheduled Health — Default 7D View</t>
  </si>
  <si>
    <t>Logged in</t>
  </si>
  <si>
    <t>1. Observe Scheduled Health widget immediately after page load</t>
  </si>
  <si>
    <t>Default state</t>
  </si>
  <si>
    <t>Widget shows donut chart with Allocated, Warning, Unallocated segments and legend. Total number (e.g., 37) displayed. 7D tab active by default.</t>
  </si>
  <si>
    <t>Verify default tab from screenshot context.</t>
  </si>
  <si>
    <t>DSH-005</t>
  </si>
  <si>
    <t>Scheduled Health — Switch to 12hr Tab</t>
  </si>
  <si>
    <t>Dashboard loaded</t>
  </si>
  <si>
    <t>1. Click '12hr' tab on Scheduled Health widget</t>
  </si>
  <si>
    <t>Click: 12hr tab</t>
  </si>
  <si>
    <t>Widget data updates to last 12-hour window. Donut chart re-renders with new counts. Active tab highlighted with visual indicator.</t>
  </si>
  <si>
    <t>DSH-006</t>
  </si>
  <si>
    <t>Scheduled Health — Switch to 28D Tab</t>
  </si>
  <si>
    <t>1. Click '28D' tab on Scheduled Health widget</t>
  </si>
  <si>
    <t>Click: 28D tab</t>
  </si>
  <si>
    <t>Widget data updates to 28-day range. Chart and totals update. Active tab styling applied to 28D.</t>
  </si>
  <si>
    <t>DSH-007</t>
  </si>
  <si>
    <t>Scheduled Health — Zero / Empty State</t>
  </si>
  <si>
    <t>Test data: all staff allocated, 0 warnings/unallocated</t>
  </si>
  <si>
    <t>1. Load dashboard with zero-state test data set</t>
  </si>
  <si>
    <t>Test env: Allocated=37, Warning=0, Unallocated=0</t>
  </si>
  <si>
    <t>Widget displays correctly with 0 values. No division-by-zero JS error. Donut chart renders gracefully (100% one colour or empty state).</t>
  </si>
  <si>
    <t>Edge case — data boundary.</t>
  </si>
  <si>
    <t>DSH-008</t>
  </si>
  <si>
    <t>Scheduled Health — Widget API Error</t>
  </si>
  <si>
    <t>Widget API mocked to return 500</t>
  </si>
  <si>
    <t>1. Mock GET /api/dashboard/scheduled-health → 500
2. Load dashboard</t>
  </si>
  <si>
    <t>Scheduled Health widget shows error state: 'Unable to load data. Retry.' or similar. Other widgets load independently and unaffected.</t>
  </si>
  <si>
    <t>Error isolation. Use Playwright page.route().</t>
  </si>
  <si>
    <t>DSH-009</t>
  </si>
  <si>
    <t>Leave Request — Data Renders Correctly</t>
  </si>
  <si>
    <t>Leave request data exists in test env (e.g., 4 requests)</t>
  </si>
  <si>
    <t>1. Load dashboard
2. Observe Leave Request widget</t>
  </si>
  <si>
    <t>Test data: 4 leave requests (28+ days band)</t>
  </si>
  <si>
    <t>Total count '4' displayed. Bar chart shows orange bar in '28+ days' band matching test data. Legend visible with correct colour coding.</t>
  </si>
  <si>
    <t>DSH-010</t>
  </si>
  <si>
    <t>Leave Request — Zero State</t>
  </si>
  <si>
    <t>No pending leave requests in test env</t>
  </si>
  <si>
    <t>1. Load dashboard with zero leave data</t>
  </si>
  <si>
    <t>Test data: 0 leave requests</t>
  </si>
  <si>
    <t>Widget shows '0' total. Chart shows empty state or 'No leave requests' placeholder. No rendering error.</t>
  </si>
  <si>
    <t>DSH-011</t>
  </si>
  <si>
    <t>Leave Request — 'View All' Navigation</t>
  </si>
  <si>
    <t>1. Click 'view all' link on Leave Request widget</t>
  </si>
  <si>
    <t>Click: view all</t>
  </si>
  <si>
    <t>User navigated to full leave management screen. URL changes to expected leave-list route.</t>
  </si>
  <si>
    <t>DSH-012</t>
  </si>
  <si>
    <t>Leave Request — Widget API Error</t>
  </si>
  <si>
    <t>Widget API mocked to 500</t>
  </si>
  <si>
    <t>1. Mock leave request API → 500
2. Load dashboard</t>
  </si>
  <si>
    <t>Leave widget shows error state. All other widgets load normally. No full-page crash.</t>
  </si>
  <si>
    <t>DSH-013</t>
  </si>
  <si>
    <t>Important Events — Zero State</t>
  </si>
  <si>
    <t>No events in test env</t>
  </si>
  <si>
    <t>1. Load dashboard with no events</t>
  </si>
  <si>
    <t>Events: 0</t>
  </si>
  <si>
    <t>Widget shows '0' badge and text 'No important events'. Layout intact. 'view all' link still present.</t>
  </si>
  <si>
    <t>Matches current screenshot state.</t>
  </si>
  <si>
    <t>DSH-014</t>
  </si>
  <si>
    <t>Important Events — With Events</t>
  </si>
  <si>
    <t>Events exist in test env</t>
  </si>
  <si>
    <t>1. Load dashboard with event data (e.g., 3 events)</t>
  </si>
  <si>
    <t>Events: 3 in test data</t>
  </si>
  <si>
    <t>Badge count shows '3'. Events listed or summarised. 'view all' link active.</t>
  </si>
  <si>
    <t>DSH-015</t>
  </si>
  <si>
    <t>Important Events — 'View All' Navigation</t>
  </si>
  <si>
    <t>1. Click 'view all' on Important Events widget</t>
  </si>
  <si>
    <t>User navigated to events screen. URL changes to expected events route.</t>
  </si>
  <si>
    <t>DSH-016</t>
  </si>
  <si>
    <t>Schedule Overview — Default Week Displayed</t>
  </si>
  <si>
    <t>1. Load dashboard
2. Observe Schedule Overview table</t>
  </si>
  <si>
    <t>Current ISO week (e.g., 19 Apr – 25 Apr)</t>
  </si>
  <si>
    <t>Current week shown with correct date range label. Columns: Sun, Mon, Tue, Wed, Thu, Fri, Sat. Region rows populated with X/Y values.</t>
  </si>
  <si>
    <t>Core functional test.</t>
  </si>
  <si>
    <t>DSH-017</t>
  </si>
  <si>
    <t>Schedule Overview — Navigate to Previous Week</t>
  </si>
  <si>
    <t>1. Click '&lt;' (previous week) arrow on Schedule Overview</t>
  </si>
  <si>
    <t>Click: &lt; arrow</t>
  </si>
  <si>
    <t>Date range shifts back 7 days. Columns relabelled with previous week dates. Data updates for that week.</t>
  </si>
  <si>
    <t>DSH-018</t>
  </si>
  <si>
    <t>Schedule Overview — Navigate to Next Week</t>
  </si>
  <si>
    <t>1. Click '&gt;' (next week) arrow</t>
  </si>
  <si>
    <t>Click: &gt; arrow</t>
  </si>
  <si>
    <t>Date range advances 7 days. Data loads for future week (may show 0/0 if unscheduled). No error on future dates.</t>
  </si>
  <si>
    <t>DSH-019</t>
  </si>
  <si>
    <t>Schedule Overview — 28D View Toggle</t>
  </si>
  <si>
    <t>1. Click '28D' toggle on Schedule Overview section</t>
  </si>
  <si>
    <t>Click: 28D toggle</t>
  </si>
  <si>
    <t>View switches to 28-day layout. More columns or aggregated daily view shown. Navigation arrows still functional.</t>
  </si>
  <si>
    <t>DSH-020</t>
  </si>
  <si>
    <t>Schedule Overview — Colour Coding Thresholds</t>
  </si>
  <si>
    <t>Test data with mixed allocation states</t>
  </si>
  <si>
    <t>1. Load dashboard with test week having:
   - East: 1/2 (yellow)
   - Test North Region: 0/2 (red)
   - South: 1/1 (green)</t>
  </si>
  <si>
    <t>Test data: specific region allocation values</t>
  </si>
  <si>
    <t>Green cells: fully allocated (X/Y where X=Y, X&gt;0). Yellow cells: partially allocated (0&lt;X&lt;Y). Red cells: 0 allocated. Cell colours match these rules.</t>
  </si>
  <si>
    <t>Core usability — colour coding is a primary UI signal.</t>
  </si>
  <si>
    <t>DSH-021</t>
  </si>
  <si>
    <t>Schedule Overview — 0/0 Cell Display</t>
  </si>
  <si>
    <t>Region with no shifts scheduled for week</t>
  </si>
  <si>
    <t>1. Load dashboard with region having 0/0 allocation</t>
  </si>
  <si>
    <t>Test data: region with no shifts</t>
  </si>
  <si>
    <t>Cell displays '0/0' without error. No division-by-zero JS exception. Cell shown as neutral/grey (no red/yellow/green override).</t>
  </si>
  <si>
    <t>Edge case — boundary data.</t>
  </si>
  <si>
    <t>DSH-022</t>
  </si>
  <si>
    <t>Schedule Overview — Fullscreen Toggle</t>
  </si>
  <si>
    <t>1. Click fullscreen icon on Schedule Overview widget</t>
  </si>
  <si>
    <t>Click: fullscreen icon</t>
  </si>
  <si>
    <t>Schedule table expands to fill viewport. All columns and rows visible/scrollable. Esc key or close button exits fullscreen.</t>
  </si>
  <si>
    <t>DSH-023</t>
  </si>
  <si>
    <t>Compliance Overview — Default State</t>
  </si>
  <si>
    <t>Compliance data exists (1 warning in test env)</t>
  </si>
  <si>
    <t>1. Load dashboard
2. Observe Compliance Overview table</t>
  </si>
  <si>
    <t>Test data: 1 warning — Key Holding expiring in 88 days</t>
  </si>
  <si>
    <t>Table shows: Emp. ID, Officer name, Role, Type, Site, Warning badge. '1 Warnings' badge visible. Site filter shows 'All'. 20D tab active.</t>
  </si>
  <si>
    <t>Core compliance feature.</t>
  </si>
  <si>
    <t>DSH-024</t>
  </si>
  <si>
    <t>Compliance Overview — Site Filter</t>
  </si>
  <si>
    <t>Multiple sites in test env</t>
  </si>
  <si>
    <t>1. Click Site dropdown on Compliance Overview
2. Select a specific site (e.g., 'Rafay site')</t>
  </si>
  <si>
    <t>Site: 'Rafay site'</t>
  </si>
  <si>
    <t>Table filters to show only officers from selected site. Row count and warnings badge count update accordingly.</t>
  </si>
  <si>
    <t>DSH-025</t>
  </si>
  <si>
    <t>Compliance Overview — Reset Site Filter to All</t>
  </si>
  <si>
    <t>Site filter active</t>
  </si>
  <si>
    <t>1. With specific site selected
2. Select 'All' from site dropdown</t>
  </si>
  <si>
    <t>Site: All</t>
  </si>
  <si>
    <t>All compliance records shown again. Badge count reflects total across all sites.</t>
  </si>
  <si>
    <t>DSH-026</t>
  </si>
  <si>
    <t>Compliance Overview — 60D Tab</t>
  </si>
  <si>
    <t>1. Click '60D' tab on Compliance Overview</t>
  </si>
  <si>
    <t>Click: 60D tab</t>
  </si>
  <si>
    <t>Data updates to show compliance warnings within 60-day window. Table rows may increase. 60D tab highlighted as active.</t>
  </si>
  <si>
    <t>DSH-027</t>
  </si>
  <si>
    <t>Compliance Overview — 90D Tab</t>
  </si>
  <si>
    <t>1. Click '90D' tab on Compliance Overview</t>
  </si>
  <si>
    <t>Click: 90D tab</t>
  </si>
  <si>
    <t>Data updates for 90-day compliance window. All warnings within 90 days shown.</t>
  </si>
  <si>
    <t>DSH-028</t>
  </si>
  <si>
    <t>Compliance Warning Badge — Content and Readability</t>
  </si>
  <si>
    <t>Warning badge visible</t>
  </si>
  <si>
    <t>1. Observe warning badge on compliance row
2. Check for full text visibility
3. Test hover/tooltip if present</t>
  </si>
  <si>
    <t>Badge: 'Key Holding is expiring in 88 days'</t>
  </si>
  <si>
    <t>Warning badge text is fully readable. Colour contrast meets WCAG AA. Full text visible or accessible via tooltip. Text not critically truncated.</t>
  </si>
  <si>
    <t>DSH-029</t>
  </si>
  <si>
    <t>Compliance Overview — No Warnings State</t>
  </si>
  <si>
    <t>Test data with zero compliance warnings</t>
  </si>
  <si>
    <t>1. Load dashboard with clean compliance data (no warnings)</t>
  </si>
  <si>
    <t>Test data: no warnings</t>
  </si>
  <si>
    <t>No badge or badge shows '0 Warnings'. Table shows placeholder text or is empty. No layout break.</t>
  </si>
  <si>
    <t>DSH-030</t>
  </si>
  <si>
    <t>Compliance Overview — Fullscreen Toggle</t>
  </si>
  <si>
    <t>1. Click fullscreen icon on Compliance Overview widget</t>
  </si>
  <si>
    <t>Compliance table expands to full viewport. Sortable columns still functional. Esc / close button exits.</t>
  </si>
  <si>
    <t>DSH-031</t>
  </si>
  <si>
    <t>Shift Monitoring CTA — Navigation</t>
  </si>
  <si>
    <t>1. Click 'Shift monitoring' button (top-right)</t>
  </si>
  <si>
    <t>Click: Shift monitoring button</t>
  </si>
  <si>
    <t>User navigated to Shift Monitoring screen. URL updates to expected route. Button count/badge visible if applicable.</t>
  </si>
  <si>
    <t>DSH-032</t>
  </si>
  <si>
    <t>Manage Sites CTA — Navigation</t>
  </si>
  <si>
    <t>1. Click 'Manage sites' button (top-right)</t>
  </si>
  <si>
    <t>Click: Manage sites button</t>
  </si>
  <si>
    <t>User navigated to Manage Sites screen. URL updates.</t>
  </si>
  <si>
    <t>DSH-033</t>
  </si>
  <si>
    <t>CTA Buttons — Keyboard Access</t>
  </si>
  <si>
    <t>1. Tab to 'Shift monitoring' button
2. Press Enter
3. Navigate back
4. Tab to 'Manage sites'
5. Press Enter</t>
  </si>
  <si>
    <t>Both CTA buttons reachable via Tab. Activated via Enter key. Visible focus ring on each.</t>
  </si>
  <si>
    <t>DSH-034</t>
  </si>
  <si>
    <t>Sidebar — Home Icon Active State</t>
  </si>
  <si>
    <t>1. Observe sidebar navigation on dashboard</t>
  </si>
  <si>
    <t>Home icon is visually highlighted/active (different colour or indicator) since user is on dashboard.</t>
  </si>
  <si>
    <t>DSH-035</t>
  </si>
  <si>
    <t>Sidebar — Staff Icon Navigation</t>
  </si>
  <si>
    <t>1. Click staff/people icon in sidebar</t>
  </si>
  <si>
    <t>Click: staff icon</t>
  </si>
  <si>
    <t>User navigated to staff management screen. URL changes. Staff icon becomes active.</t>
  </si>
  <si>
    <t>DSH-036</t>
  </si>
  <si>
    <t>Sidebar — Calendar Icon Navigation</t>
  </si>
  <si>
    <t>1. Click calendar icon in sidebar</t>
  </si>
  <si>
    <t>Click: calendar icon</t>
  </si>
  <si>
    <t>User navigated to schedule/calendar screen. URL changes.</t>
  </si>
  <si>
    <t>DSH-037</t>
  </si>
  <si>
    <t>Sidebar — Keyboard Navigation</t>
  </si>
  <si>
    <t>1. Tab through all sidebar navigation icons
2. Verify each is focusable and activatable</t>
  </si>
  <si>
    <t>All sidebar icons reachable via Tab. Focus rings visible. Screen reader announces meaningful labels for each icon (not just 'button').</t>
  </si>
  <si>
    <t>WCAG 2.4.3, 1.1.1 for icon alt text.</t>
  </si>
  <si>
    <t>DSH-038</t>
  </si>
  <si>
    <t>Settings Icon — Navigation</t>
  </si>
  <si>
    <t>1. Click settings gear icon (bottom-left of sidebar)</t>
  </si>
  <si>
    <t>Click: settings icon</t>
  </si>
  <si>
    <t>User navigated to settings screen or settings panel opens. URL/state changes.</t>
  </si>
  <si>
    <t>DSH-039</t>
  </si>
  <si>
    <t>User Avatar — Profile Menu Opens</t>
  </si>
  <si>
    <t>1. Click user avatar / initials icon (bottom-left)</t>
  </si>
  <si>
    <t>Click: avatar/initials icon</t>
  </si>
  <si>
    <t>Profile dropdown menu or profile screen opens with options (e.g., My Profile, Sign Out).</t>
  </si>
  <si>
    <t>DSH-040</t>
  </si>
  <si>
    <t>Role-Based Visibility — Lower Role</t>
  </si>
  <si>
    <t>Login as Officer/non-manager role</t>
  </si>
  <si>
    <t>1. Log in with Officer-role account
2. Navigate to dashboard</t>
  </si>
  <si>
    <t>Account: Officer role</t>
  </si>
  <si>
    <t>Widgets requiring Manager/Admin access hidden or show 'Access restricted'. No data leakage from higher-privilege data sets.</t>
  </si>
  <si>
    <t>Security / RBAC. Critical.</t>
  </si>
  <si>
    <t>DSH-041</t>
  </si>
  <si>
    <t>Page Load Performance — Desktop</t>
  </si>
  <si>
    <t>Clean browser cache; desktop connection</t>
  </si>
  <si>
    <t>1. Clear cache
2. Open /app/dashboard
3. Record metrics via DevTools / Lighthouse</t>
  </si>
  <si>
    <t>Desktop, unthrottled connection</t>
  </si>
  <si>
    <t>Page fully interactive &lt; 3 s. LCP &lt; 2.5 s. CLS &lt; 0.1. No render-blocking scripts delaying interactivity.</t>
  </si>
  <si>
    <t>Use Lighthouse CI in pipeline.</t>
  </si>
  <si>
    <t>DSH-042</t>
  </si>
  <si>
    <t>Widget Skeleton Loaders — Slow Network</t>
  </si>
  <si>
    <t>Fast 3G throttle in DevTools</t>
  </si>
  <si>
    <t>1. Enable Fast 3G throttle
2. Load /app/dashboard
3. Observe widgets while loading</t>
  </si>
  <si>
    <t>Throttled: Fast 3G</t>
  </si>
  <si>
    <t>Widgets display skeleton/placeholder loaders while fetching data. No blank white space. No layout shift (CLS). Smooth transition when data arrives.</t>
  </si>
  <si>
    <t>UX / CLS metric.</t>
  </si>
  <si>
    <t>DSH-043</t>
  </si>
  <si>
    <t>All Widget APIs Failing Simultaneously</t>
  </si>
  <si>
    <t>All widget API endpoints mocked to return 500</t>
  </si>
  <si>
    <t>1. Mock all 5 widget APIs → 500
2. Load dashboard</t>
  </si>
  <si>
    <t>All widget APIs: HTTP 500</t>
  </si>
  <si>
    <t>Each widget shows its own independent error state. Page does not crash. Navigation and sidebar remain functional. User can manually retry.</t>
  </si>
  <si>
    <t>Resilience — error isolation boundary test.</t>
  </si>
  <si>
    <t>DSH-044</t>
  </si>
  <si>
    <t>No Sensitive Data in localStorage</t>
  </si>
  <si>
    <t>Dashboard fully loaded</t>
  </si>
  <si>
    <t>1. Open DevTools → Application → Local Storage
2. Inspect all keys under dev.taskr.co.uk
3. Also check sessionStorage and IndexedDB</t>
  </si>
  <si>
    <t>DevTools Application panel</t>
  </si>
  <si>
    <t>No auth tokens, passwords, PII, or sensitive operational data stored in localStorage or sessionStorage. Tokens stored only in HttpOnly cookies (not accessible via JS).</t>
  </si>
  <si>
    <t>Security — token storage audit.</t>
  </si>
  <si>
    <t>DSH-045</t>
  </si>
  <si>
    <t>Page Title and ARIA Landmarks</t>
  </si>
  <si>
    <t>Dashboard loaded; axe DevTools available</t>
  </si>
  <si>
    <t>1. Check browser tab title
2. Run axe DevTools scan on full dashboard
3. Inspect ARIA landmark structure</t>
  </si>
  <si>
    <t>Browser title: 'My Dashboard – TASKR' or similar. ARIA landmarks present: &lt;main&gt;, &lt;nav&gt;, &lt;region&gt; or aria-label per widget. axe reports 0 critical/serious violations.</t>
  </si>
  <si>
    <t>WCAG 1.3.1, 2.4.2.</t>
  </si>
  <si>
    <t>DSH-046</t>
  </si>
  <si>
    <t>Responsive Layout — 1280 px Desktop</t>
  </si>
  <si>
    <t>Desktop browser at 1280 px</t>
  </si>
  <si>
    <t>1. Set browser viewport to 1280 px wide
2. Review all widget layout</t>
  </si>
  <si>
    <t>Viewport: 1280 px</t>
  </si>
  <si>
    <t>All three top widgets (Scheduled Health, Leave Request, Important Events) display in a single row. Schedule and Compliance display below. No horizontal scroll.</t>
  </si>
  <si>
    <t>DSH-047</t>
  </si>
  <si>
    <t>Responsive Layout — 1024 px</t>
  </si>
  <si>
    <t>Browser at 1024 px width</t>
  </si>
  <si>
    <t>1. Set viewport to 1024 px
2. Review layout</t>
  </si>
  <si>
    <t>Viewport: 1024 px</t>
  </si>
  <si>
    <t>Layout reflows gracefully. Widgets stack or adjust size. No content overlapping or cut off. Sidebar may collapse.</t>
  </si>
  <si>
    <t>DSH-048</t>
  </si>
  <si>
    <t>Data Refresh on Manual Page Reload</t>
  </si>
  <si>
    <t>Dashboard loaded; data changed in backend</t>
  </si>
  <si>
    <t>1. Load dashboard
2. Simulate data change in backend
3. Press F5 / Ctrl+R</t>
  </si>
  <si>
    <t>F5 reload</t>
  </si>
  <si>
    <t>Refreshed dashboard shows updated data from all API endpoints. No stale cache serving old data.</t>
  </si>
  <si>
    <t>Cache-Control header verification.</t>
  </si>
  <si>
    <t>DSH-049</t>
  </si>
  <si>
    <t>Colour Legend Accuracy — Scheduled Health</t>
  </si>
  <si>
    <t>Known test data set matching screenshot values</t>
  </si>
  <si>
    <t>1. Load dashboard with known data: Allocated=12, Warning=17, Unallocated=7
2. Verify legend and chart match</t>
  </si>
  <si>
    <t>Test data: Allocated=12, Warning=17, Unallocated=7, Total=37</t>
  </si>
  <si>
    <t>Legend numbers match. Donut chart segment sizes proportional to values. Total displayed (37) equals sum of all categories.</t>
  </si>
  <si>
    <t>Data integrity check.</t>
  </si>
  <si>
    <t>DSH-050</t>
  </si>
  <si>
    <t>Chat / Support Icon — Opens Panel</t>
  </si>
  <si>
    <t>1. Click floating chat icon (bottom-right corner of page)</t>
  </si>
  <si>
    <t>Click: chat/support icon</t>
  </si>
  <si>
    <t>Support chat panel or help overlay opens. Does not navigate away from dashboard. Panel closeable.</t>
  </si>
  <si>
    <t>CROSS-SCREEN INTEGRATION TESTS   |   dev.taskr.co.uk — Full Flow</t>
  </si>
  <si>
    <t>E2E-001</t>
  </si>
  <si>
    <t>Full Login → OTP → Dashboard Flow</t>
  </si>
  <si>
    <t>Clean environment; valid test account; Mailhog running</t>
  </si>
  <si>
    <t>1. Open /login
2. Enter valid email + password
3. Click Login
4. Retrieve OTP from Mailhog API
5. Enter OTP on /otp screen
6. Click Verify
7. Verify landing page</t>
  </si>
  <si>
    <t>Email: testadmin@taskr.co.uk
Password: ValidP@ss1!
OTP: retrieved from Mailhog</t>
  </si>
  <si>
    <t>User successfully lands on /app/dashboard with all widgets loaded. Full session established. 0 console errors throughout.</t>
  </si>
  <si>
    <t>Primary E2E smoke test. Run on every CI build and every deploy to staging.</t>
  </si>
  <si>
    <t>E2E-002</t>
  </si>
  <si>
    <t>Remember Me — Session Persists Across Browser Close</t>
  </si>
  <si>
    <t>1. Login with 'Remember me' checked
2. Complete OTP
3. Reach dashboard
4. Close all browser windows
5. Reopen browser and navigate to /app/dashboard</t>
  </si>
  <si>
    <t>Remember me: checked</t>
  </si>
  <si>
    <t>User is still authenticated after browser reopen. Dashboard loads without re-login. Persistent cookie present with correct attributes.</t>
  </si>
  <si>
    <t>Cross-session persistence test.</t>
  </si>
  <si>
    <t>E2E-003</t>
  </si>
  <si>
    <t>Session Expiry Mid-Dashboard → Re-Login → Return to Dashboard</t>
  </si>
  <si>
    <t>Valid session that will be expired</t>
  </si>
  <si>
    <t>1. Login, reach dashboard
2. Force session expiry (delete auth cookie or use test API endpoint)
3. Click any interactive element on dashboard (e.g., widget CTA)
4. On login page: re-enter credentials + OTP
5. Verify landing</t>
  </si>
  <si>
    <t>Session forcibly expired mid-session</t>
  </si>
  <si>
    <t>On step 3: redirected to /login?redirect=%2Fapp%2Fdashboard. After re-login + OTP: user returned to /app/dashboard. No data leakage in redirect.</t>
  </si>
  <si>
    <t>Session lifecycle / expiry handling.</t>
  </si>
  <si>
    <t>E2E-004</t>
  </si>
  <si>
    <t>Sign In with Different Email — Isolates Sessions</t>
  </si>
  <si>
    <t>Two valid test accounts: User A and User B</t>
  </si>
  <si>
    <t>1. Login as User A
2. On OTP screen, click 'Sign in with different email'
3. Login as User B
4. Complete OTP for User B
5. Verify dashboard shows User B's data</t>
  </si>
  <si>
    <t>Account A: manager_a@taskr.co.uk
Account B: manager_b@taskr.co.uk</t>
  </si>
  <si>
    <t>Dashboard shows User B's data, not User A's. No data leakage between sessions. User A's partial session fully invalidated server-side.</t>
  </si>
  <si>
    <t>Cross-account session isolation.</t>
  </si>
  <si>
    <t>E2E-005</t>
  </si>
  <si>
    <t>Role-Based Access — Manager vs Officer Dashboard</t>
  </si>
  <si>
    <t>Manager account + Officer account in test env</t>
  </si>
  <si>
    <t>1. Login as Manager role → reach dashboard → note widgets visible
2. Logout
3. Login as Officer role → reach dashboard → note widgets visible</t>
  </si>
  <si>
    <t>Manager: manager@taskr.co.uk
Officer: officer@taskr.co.uk</t>
  </si>
  <si>
    <t>Manager sees full dashboard with all widgets including Compliance. Officer sees restricted view — no unauthorized data widgets. Both users reach their respective dashboards successfully.</t>
  </si>
  <si>
    <t>RBAC integration — security + functionality.</t>
  </si>
  <si>
    <t>E2E-006</t>
  </si>
  <si>
    <t>Forgot Password → Return to Login → Full Auth Flow</t>
  </si>
  <si>
    <t>1. Click 'Forgot password?' on login
2. Complete password reset flow
3. Return to /login
4. Login with new password
5. Complete OTP
6. Verify dashboard loads</t>
  </si>
  <si>
    <t>Account with known email; new password chosen during reset</t>
  </si>
  <si>
    <t>Full flow completes end-to-end. User can authenticate with new password. Dashboard loads with correct data. Old password rejected on subsequent login attempt.</t>
  </si>
  <si>
    <t>Password reset integration with auth flow.</t>
  </si>
  <si>
    <t>TEST COVERAGE MATRIX  All Three Screens</t>
  </si>
  <si>
    <t>Functional area coverage mapped to test case counts per screen</t>
  </si>
  <si>
    <t>Coverage Area</t>
  </si>
  <si>
    <t>Login Screen
(LGN)</t>
  </si>
  <si>
    <t>OTP Screen
(OTP)</t>
  </si>
  <si>
    <t>Dashboard
(DSH)</t>
  </si>
  <si>
    <t>Integration
(E2E)</t>
  </si>
  <si>
    <t>Total
Tests</t>
  </si>
  <si>
    <t>Happy Path / Positive Flows</t>
  </si>
  <si>
    <t>3</t>
  </si>
  <si>
    <t>2</t>
  </si>
  <si>
    <t>1</t>
  </si>
  <si>
    <t>Core successful journeys</t>
  </si>
  <si>
    <t>Authentication &amp; Session Handling</t>
  </si>
  <si>
    <t>4</t>
  </si>
  <si>
    <t>Login, OTP, remember me, expiry, re-auth</t>
  </si>
  <si>
    <t>Form Validation — Client Side</t>
  </si>
  <si>
    <t>0</t>
  </si>
  <si>
    <t>Empty fields, format, length checks</t>
  </si>
  <si>
    <t>Negative / Error Flows</t>
  </si>
  <si>
    <t>Wrong creds, wrong OTP, API errors</t>
  </si>
  <si>
    <t>OTP Lifecycle</t>
  </si>
  <si>
    <t>8</t>
  </si>
  <si>
    <t>Generation, expiry, resend, single-use</t>
  </si>
  <si>
    <t>Widget Data &amp; Filtering</t>
  </si>
  <si>
    <t>15</t>
  </si>
  <si>
    <t>All 5 dashboard widgets, tabs, dropdowns</t>
  </si>
  <si>
    <t>Navigation &amp; Routing</t>
  </si>
  <si>
    <t>Links, CTAs, sidebar, redirect handling</t>
  </si>
  <si>
    <t>Security Checks</t>
  </si>
  <si>
    <t>7</t>
  </si>
  <si>
    <t>Injection, CSRF, HTTPS, RBAC, token storage</t>
  </si>
  <si>
    <t>Accessibility (WCAG 2.1 AA)</t>
  </si>
  <si>
    <t>5</t>
  </si>
  <si>
    <t>Tab order, ARIA, SR labels, contrast</t>
  </si>
  <si>
    <t>Performance &amp; Load</t>
  </si>
  <si>
    <t>LCP, CLS, skeleton loaders, throttled network</t>
  </si>
  <si>
    <t>Error Handling &amp; Resilience</t>
  </si>
  <si>
    <t>500 errors, timeouts, widget isolation</t>
  </si>
  <si>
    <t>Localisation / i18n</t>
  </si>
  <si>
    <t>Unicode, whitespace, placeholder text</t>
  </si>
  <si>
    <t>Data Persistence (cookies/storage)</t>
  </si>
  <si>
    <t>Remember me, localStorage audit</t>
  </si>
  <si>
    <t>Role-Based Access Control</t>
  </si>
  <si>
    <t>Manager vs Officer visibility</t>
  </si>
  <si>
    <t>Responsive Layout</t>
  </si>
  <si>
    <t>1280px, 1024px, 375px viewports</t>
  </si>
  <si>
    <t>UX / Visual</t>
  </si>
  <si>
    <t>Loading states, colour coding, paste, clipboard</t>
  </si>
  <si>
    <t>118 total test cases</t>
  </si>
  <si>
    <t>RISK REGISTER (Top 5 Risks Per Screen)</t>
  </si>
  <si>
    <t>Impact: Critical / High / Medium / Low   |   Likelihood: High / Medium / Low</t>
  </si>
  <si>
    <t>#</t>
  </si>
  <si>
    <t>Risk Description</t>
  </si>
  <si>
    <t>Impact</t>
  </si>
  <si>
    <t>Likelihood</t>
  </si>
  <si>
    <t>Risk Score</t>
  </si>
  <si>
    <t>Mitigation Strategy</t>
  </si>
  <si>
    <t>Login</t>
  </si>
  <si>
    <t>Credential brute-force attack on /login API endpoint</t>
  </si>
  <si>
    <t>Critical</t>
  </si>
  <si>
    <t>High</t>
  </si>
  <si>
    <t>CRITICAL</t>
  </si>
  <si>
    <t>Implement rate limiting (429 after 5 failures), exponential backoff, account lockout with email unlock, CAPTCHA on repeated failures.</t>
  </si>
  <si>
    <t>Open-redirect via ?redirect param → phishing</t>
  </si>
  <si>
    <t>Medium</t>
  </si>
  <si>
    <t xml:space="preserve"> HIGH</t>
  </si>
  <si>
    <t>Whitelist allowed redirect paths server-side. Reject absolute URLs and external domains. Return 400 on invalid redirect.</t>
  </si>
  <si>
    <t>Session cookie misconfiguration (missing HttpOnly/Secure/SameSite)</t>
  </si>
  <si>
    <t>HIGH</t>
  </si>
  <si>
    <t>Audit all Set-Cookie headers. Enforce HttpOnly, Secure, SameSite=Strict on auth cookies. Add to pre-release checklist.</t>
  </si>
  <si>
    <t>Password field content exposure via clipboard logging or analytics events</t>
  </si>
  <si>
    <t>Low</t>
  </si>
  <si>
    <t>LOW</t>
  </si>
  <si>
    <t>Ensure type=password default. Never log field values in analytics/telemetry. Review third-party analytics scripts.</t>
  </si>
  <si>
    <t>Remember Me creates long-lived token without rotation</t>
  </si>
  <si>
    <t>MEDIUM</t>
  </si>
  <si>
    <t>Rotate refresh tokens on each use. Set max 30-day expiry. Provide 'Sign out all devices' functionality.</t>
  </si>
  <si>
    <t>OTP</t>
  </si>
  <si>
    <t>Brute-force OTP — 4 digits = only 10,000 combinations</t>
  </si>
  <si>
    <t>Rate-limit verify attempts per session/IP (max 5). Lock account after N failures. Consider 6-digit OTP for higher security.</t>
  </si>
  <si>
    <t>OTP replay attack — reusing already-verified OTP</t>
  </si>
  <si>
    <t>Mark OTP as used server-side immediately upon first successful verify. Reject used tokens. Enforce one-time use.</t>
  </si>
  <si>
    <t>OTP screen accessible without completing login step (auth bypass)</t>
  </si>
  <si>
    <t>Server validates intermediate session token on /verify endpoint. Direct /otp access without token returns 401.</t>
  </si>
  <si>
    <t>9</t>
  </si>
  <si>
    <t>Email delivery failure — user cannot receive OTP</t>
  </si>
  <si>
    <t>Provide immediate resend after 60 s. Implement email delivery monitoring/alerting. Consider SMS fallback channel.</t>
  </si>
  <si>
    <t>10</t>
  </si>
  <si>
    <t>Timer desync — OTP rejected prematurely due to client/server clock drift</t>
  </si>
  <si>
    <t>Use server-side expiry check as authoritative. Client timer is UX-only. Add small grace period (e.g., 30 s) server-side.</t>
  </si>
  <si>
    <t>Insecure Direct Object Reference — manager sees out-of-scope data</t>
  </si>
  <si>
    <t>Backend enforces row-level security per manager scope. Test with multiple accounts having different region/site assignments.</t>
  </si>
  <si>
    <t>Widget API failures cascade and break entire dashboard</t>
  </si>
  <si>
    <t>Each widget fetches independently. Implement React error boundaries or equivalent. Each widget has its own error state UI.</t>
  </si>
  <si>
    <t>13</t>
  </si>
  <si>
    <t>Stale cached data misleads operational scheduling/compliance decisions</t>
  </si>
  <si>
    <t>Appropriate Cache-Control headers per widget type. Show last-updated timestamp on critical widgets. Implement cache invalidation.</t>
  </si>
  <si>
    <t>14</t>
  </si>
  <si>
    <t>Compliance warning data exposed to lower-privilege roles (RBAC gap)</t>
  </si>
  <si>
    <t>Backend filters compliance data by user role. QA to test with Officer-role account. Add to RBAC test plan.</t>
  </si>
  <si>
    <t>Performance degradation with large data sets (100+ regions, 1000+ employees)</t>
  </si>
  <si>
    <t>Load test APIs with realistic data volumes. Implement pagination or virtual scrolling on Compliance table. Set widget data result caps.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</si>
</sst>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20">
    <font>
      <sz val="11.0"/>
      <color theme="1"/>
      <name val="Calibri"/>
      <scheme val="minor"/>
    </font>
    <font>
      <b/>
      <sz val="18.0"/>
      <color rgb="FFFFFFFF"/>
      <name val="Arial"/>
    </font>
    <font/>
    <font>
      <sz val="12.0"/>
      <color rgb="FFFFFFFF"/>
      <name val="Arial"/>
    </font>
    <font>
      <b/>
      <sz val="11.0"/>
      <color rgb="FF1E3A5F"/>
      <name val="Arial"/>
    </font>
    <font>
      <sz val="11.0"/>
      <color rgb="FF000000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b/>
      <sz val="10.0"/>
      <color rgb="FF1E3A5F"/>
      <name val="Arial"/>
    </font>
    <font>
      <sz val="10.0"/>
      <color rgb="FF000000"/>
      <name val="Arial"/>
    </font>
    <font>
      <b/>
      <sz val="13.0"/>
      <color rgb="FFFFFFFF"/>
      <name val="Arial"/>
    </font>
    <font>
      <sz val="11.0"/>
      <color theme="1"/>
      <name val="Calibri"/>
    </font>
    <font>
      <b/>
      <sz val="10.0"/>
      <color rgb="FFC0392B"/>
      <name val="Arial"/>
    </font>
    <font>
      <u/>
      <sz val="10.0"/>
      <color rgb="FF000000"/>
      <name val="Arial"/>
    </font>
    <font>
      <b/>
      <sz val="10.0"/>
      <color rgb="FFD35400"/>
      <name val="Arial"/>
    </font>
    <font>
      <b/>
      <sz val="10.0"/>
      <color rgb="FF1A7A3C"/>
      <name val="Arial"/>
    </font>
    <font>
      <b/>
      <sz val="14.0"/>
      <color rgb="FFFFFFFF"/>
      <name val="Arial"/>
    </font>
    <font>
      <i/>
      <sz val="11.0"/>
      <color rgb="FFFFFFFF"/>
      <name val="Arial"/>
    </font>
    <font>
      <i/>
      <sz val="10.0"/>
      <color rgb="FFFFFFFF"/>
      <name val="Arial"/>
    </font>
    <font>
      <b/>
      <sz val="10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2E6DAD"/>
        <bgColor rgb="FF2E6DAD"/>
      </patternFill>
    </fill>
    <fill>
      <patternFill patternType="solid">
        <fgColor rgb="FFD0E4F5"/>
        <bgColor rgb="FFD0E4F5"/>
      </patternFill>
    </fill>
    <fill>
      <patternFill patternType="solid">
        <fgColor rgb="FFFFFFFF"/>
        <bgColor rgb="FFFFFFFF"/>
      </patternFill>
    </fill>
    <fill>
      <patternFill patternType="solid">
        <fgColor rgb="FFF0F6FF"/>
        <bgColor rgb="FFF0F6FF"/>
      </patternFill>
    </fill>
    <fill>
      <patternFill patternType="solid">
        <fgColor rgb="FFFDECEA"/>
        <bgColor rgb="FFFDECEA"/>
      </patternFill>
    </fill>
    <fill>
      <patternFill patternType="solid">
        <fgColor rgb="FFFEF5E7"/>
        <bgColor rgb="FFFEF5E7"/>
      </patternFill>
    </fill>
    <fill>
      <patternFill patternType="solid">
        <fgColor rgb="FFEAFAF1"/>
        <bgColor rgb="FFEAFAF1"/>
      </patternFill>
    </fill>
    <fill>
      <patternFill patternType="solid">
        <fgColor rgb="FF7F1A1A"/>
        <bgColor rgb="FF7F1A1A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5" fillId="0" fontId="2" numFmtId="0" xfId="0" applyBorder="1" applyFont="1"/>
    <xf borderId="4" fillId="5" fontId="5" numFmtId="0" xfId="0" applyAlignment="1" applyBorder="1" applyFill="1" applyFont="1">
      <alignment horizontal="left" readingOrder="0" shrinkToFit="0" vertical="center" wrapText="1"/>
    </xf>
    <xf borderId="6" fillId="0" fontId="2" numFmtId="0" xfId="0" applyBorder="1" applyFont="1"/>
    <xf borderId="4" fillId="5" fontId="5" numFmtId="0" xfId="0" applyAlignment="1" applyBorder="1" applyFont="1">
      <alignment horizontal="left" shrinkToFit="0" vertical="center" wrapText="1"/>
    </xf>
    <xf borderId="4" fillId="5" fontId="5" numFmtId="164" xfId="0" applyAlignment="1" applyBorder="1" applyFont="1" applyNumberFormat="1">
      <alignment horizontal="left"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7" fillId="3" fontId="7" numFmtId="0" xfId="0" applyAlignment="1" applyBorder="1" applyFont="1">
      <alignment horizontal="center" shrinkToFit="0" vertical="center" wrapText="1"/>
    </xf>
    <xf borderId="7" fillId="5" fontId="8" numFmtId="0" xfId="0" applyAlignment="1" applyBorder="1" applyFont="1">
      <alignment horizontal="left" shrinkToFit="0" vertical="center" wrapText="1"/>
    </xf>
    <xf borderId="7" fillId="5" fontId="9" numFmtId="0" xfId="0" applyAlignment="1" applyBorder="1" applyFont="1">
      <alignment horizontal="left" readingOrder="0" shrinkToFit="0" vertical="center" wrapText="1"/>
    </xf>
    <xf borderId="7" fillId="5" fontId="9" numFmtId="0" xfId="0" applyAlignment="1" applyBorder="1" applyFont="1">
      <alignment horizontal="left" shrinkToFit="0" vertical="center" wrapText="1"/>
    </xf>
    <xf borderId="7" fillId="6" fontId="8" numFmtId="0" xfId="0" applyAlignment="1" applyBorder="1" applyFill="1" applyFont="1">
      <alignment horizontal="left" shrinkToFit="0" vertical="center" wrapText="1"/>
    </xf>
    <xf borderId="7" fillId="6" fontId="9" numFmtId="0" xfId="0" applyAlignment="1" applyBorder="1" applyFont="1">
      <alignment horizontal="left" readingOrder="0" shrinkToFit="0" vertical="center" wrapText="1"/>
    </xf>
    <xf borderId="7" fillId="6" fontId="9" numFmtId="0" xfId="0" applyAlignment="1" applyBorder="1" applyFont="1">
      <alignment horizontal="left" shrinkToFit="0" vertical="center" wrapText="1"/>
    </xf>
    <xf borderId="7" fillId="2" fontId="7" numFmtId="0" xfId="0" applyAlignment="1" applyBorder="1" applyFont="1">
      <alignment horizontal="left" shrinkToFit="0" vertical="center" wrapText="1"/>
    </xf>
    <xf borderId="7" fillId="2" fontId="7" numFmtId="0" xfId="0" applyAlignment="1" applyBorder="1" applyFont="1">
      <alignment horizontal="center" shrinkToFit="0" vertical="center" wrapText="1"/>
    </xf>
    <xf borderId="7" fillId="2" fontId="9" numFmtId="0" xfId="0" applyAlignment="1" applyBorder="1" applyFont="1">
      <alignment horizontal="left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7" fillId="5" fontId="8" numFmtId="0" xfId="0" applyAlignment="1" applyBorder="1" applyFont="1">
      <alignment horizontal="left" readingOrder="0" shrinkToFit="0" vertical="center" wrapText="1"/>
    </xf>
    <xf borderId="4" fillId="5" fontId="9" numFmtId="0" xfId="0" applyAlignment="1" applyBorder="1" applyFont="1">
      <alignment horizontal="left" readingOrder="0" shrinkToFit="0" vertical="center" wrapText="1"/>
    </xf>
    <xf borderId="7" fillId="6" fontId="8" numFmtId="0" xfId="0" applyAlignment="1" applyBorder="1" applyFont="1">
      <alignment horizontal="left" readingOrder="0" shrinkToFit="0" vertical="center" wrapText="1"/>
    </xf>
    <xf borderId="4" fillId="6" fontId="9" numFmtId="0" xfId="0" applyAlignment="1" applyBorder="1" applyFont="1">
      <alignment horizontal="left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left" readingOrder="0" shrinkToFit="0" vertical="center" wrapText="0"/>
    </xf>
    <xf borderId="9" fillId="4" fontId="11" numFmtId="0" xfId="0" applyAlignment="1" applyBorder="1" applyFont="1">
      <alignment shrinkToFit="0" vertical="bottom" wrapText="0"/>
    </xf>
    <xf borderId="7" fillId="7" fontId="12" numFmtId="0" xfId="0" applyAlignment="1" applyBorder="1" applyFill="1" applyFont="1">
      <alignment horizontal="center" shrinkToFit="0" vertical="center" wrapText="0"/>
    </xf>
    <xf borderId="7" fillId="6" fontId="13" numFmtId="0" xfId="0" applyAlignment="1" applyBorder="1" applyFont="1">
      <alignment horizontal="left" readingOrder="0" shrinkToFit="0" vertical="center" wrapText="1"/>
    </xf>
    <xf borderId="7" fillId="8" fontId="14" numFmtId="0" xfId="0" applyAlignment="1" applyBorder="1" applyFill="1" applyFont="1">
      <alignment horizontal="center" shrinkToFit="0" vertical="center" wrapText="0"/>
    </xf>
    <xf borderId="7" fillId="9" fontId="15" numFmtId="0" xfId="0" applyAlignment="1" applyBorder="1" applyFill="1" applyFont="1">
      <alignment horizontal="center" shrinkToFit="0" vertical="center" wrapText="0"/>
    </xf>
    <xf borderId="1" fillId="2" fontId="10" numFmtId="0" xfId="0" applyAlignment="1" applyBorder="1" applyFont="1">
      <alignment horizontal="left" shrinkToFit="0" vertical="center" wrapText="0"/>
    </xf>
    <xf borderId="1" fillId="2" fontId="16" numFmtId="0" xfId="0" applyAlignment="1" applyBorder="1" applyFont="1">
      <alignment horizontal="center" readingOrder="0" shrinkToFit="0" vertical="center" wrapText="1"/>
    </xf>
    <xf borderId="1" fillId="3" fontId="17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horizontal="center" shrinkToFit="0" vertical="center" wrapText="1"/>
    </xf>
    <xf borderId="7" fillId="10" fontId="7" numFmtId="0" xfId="0" applyAlignment="1" applyBorder="1" applyFill="1" applyFont="1">
      <alignment horizontal="center" shrinkToFit="0" vertical="center" wrapText="1"/>
    </xf>
    <xf borderId="7" fillId="5" fontId="19" numFmtId="0" xfId="0" applyAlignment="1" applyBorder="1" applyFont="1">
      <alignment horizontal="left" shrinkToFit="0" vertical="center" wrapText="1"/>
    </xf>
    <xf borderId="7" fillId="6" fontId="1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v.taskr.co.uk/login" TargetMode="External"/><Relationship Id="rId2" Type="http://schemas.openxmlformats.org/officeDocument/2006/relationships/hyperlink" Target="https://dev.taskr.co.uk/login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ev.taskr.co.uk/ot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4.0"/>
    <col customWidth="1" min="3" max="3" width="18.0"/>
    <col customWidth="1" min="4" max="7" width="14.0"/>
    <col customWidth="1" min="8" max="8" width="20.0"/>
    <col customWidth="1" min="9" max="26" width="8.71"/>
  </cols>
  <sheetData>
    <row r="2" ht="37.5" customHeight="1">
      <c r="B2" s="1" t="s">
        <v>0</v>
      </c>
      <c r="C2" s="2"/>
      <c r="D2" s="2"/>
      <c r="E2" s="2"/>
      <c r="F2" s="2"/>
      <c r="G2" s="2"/>
      <c r="H2" s="3"/>
    </row>
    <row r="3" ht="21.75" customHeight="1">
      <c r="B3" s="4" t="s">
        <v>1</v>
      </c>
      <c r="C3" s="2"/>
      <c r="D3" s="2"/>
      <c r="E3" s="2"/>
      <c r="F3" s="2"/>
      <c r="G3" s="2"/>
      <c r="H3" s="3"/>
    </row>
    <row r="5" ht="18.0" customHeight="1">
      <c r="B5" s="5" t="s">
        <v>2</v>
      </c>
      <c r="C5" s="6"/>
      <c r="D5" s="7" t="s">
        <v>3</v>
      </c>
      <c r="E5" s="8"/>
      <c r="F5" s="8"/>
      <c r="G5" s="8"/>
      <c r="H5" s="6"/>
    </row>
    <row r="6" ht="18.0" customHeight="1">
      <c r="B6" s="5" t="s">
        <v>4</v>
      </c>
      <c r="C6" s="6"/>
      <c r="D6" s="9" t="s">
        <v>5</v>
      </c>
      <c r="E6" s="8"/>
      <c r="F6" s="8"/>
      <c r="G6" s="8"/>
      <c r="H6" s="6"/>
    </row>
    <row r="7" ht="18.0" customHeight="1">
      <c r="B7" s="5" t="s">
        <v>6</v>
      </c>
      <c r="C7" s="6"/>
      <c r="D7" s="10">
        <v>46072.0</v>
      </c>
      <c r="E7" s="8"/>
      <c r="F7" s="8"/>
      <c r="G7" s="8"/>
      <c r="H7" s="6"/>
    </row>
    <row r="8" ht="18.0" customHeight="1">
      <c r="B8" s="5" t="s">
        <v>7</v>
      </c>
      <c r="C8" s="6"/>
      <c r="D8" s="7" t="s">
        <v>8</v>
      </c>
      <c r="E8" s="8"/>
      <c r="F8" s="8"/>
      <c r="G8" s="8"/>
      <c r="H8" s="6"/>
    </row>
    <row r="9" ht="18.0" customHeight="1">
      <c r="B9" s="5" t="s">
        <v>9</v>
      </c>
      <c r="C9" s="6"/>
      <c r="D9" s="7" t="s">
        <v>10</v>
      </c>
      <c r="E9" s="8"/>
      <c r="F9" s="8"/>
      <c r="G9" s="8"/>
      <c r="H9" s="6"/>
    </row>
    <row r="10" ht="18.0" customHeight="1">
      <c r="B10" s="5" t="s">
        <v>11</v>
      </c>
      <c r="C10" s="6"/>
      <c r="D10" s="9" t="s">
        <v>12</v>
      </c>
      <c r="E10" s="8"/>
      <c r="F10" s="8"/>
      <c r="G10" s="8"/>
      <c r="H10" s="6"/>
    </row>
    <row r="12" ht="24.0" customHeight="1">
      <c r="B12" s="11" t="s">
        <v>13</v>
      </c>
      <c r="C12" s="2"/>
      <c r="D12" s="2"/>
      <c r="E12" s="2"/>
      <c r="F12" s="2"/>
      <c r="G12" s="2"/>
      <c r="H12" s="3"/>
    </row>
    <row r="13" ht="19.5" customHeight="1">
      <c r="B13" s="12" t="s">
        <v>14</v>
      </c>
      <c r="C13" s="12" t="s">
        <v>15</v>
      </c>
      <c r="D13" s="12" t="s">
        <v>16</v>
      </c>
      <c r="E13" s="12" t="s">
        <v>17</v>
      </c>
      <c r="F13" s="12" t="s">
        <v>18</v>
      </c>
      <c r="G13" s="12" t="s">
        <v>19</v>
      </c>
      <c r="H13" s="12" t="s">
        <v>20</v>
      </c>
    </row>
    <row r="14" ht="18.0" customHeight="1">
      <c r="B14" s="13" t="s">
        <v>21</v>
      </c>
      <c r="C14" s="14" t="s">
        <v>22</v>
      </c>
      <c r="D14" s="15">
        <f>COUNTIF(Login!G4:G100,"P0")</f>
        <v>15</v>
      </c>
      <c r="E14" s="15">
        <f>COUNTIF(Login!G4:G100,"P1")</f>
        <v>16</v>
      </c>
      <c r="F14" s="15">
        <f>COUNTIF(Login!G4:G100,"P2")</f>
        <v>3</v>
      </c>
      <c r="G14" s="15">
        <f>COUNTA(Login!A4:A100)</f>
        <v>34</v>
      </c>
      <c r="H14" s="15" t="s">
        <v>23</v>
      </c>
    </row>
    <row r="15" ht="18.0" customHeight="1">
      <c r="B15" s="16" t="s">
        <v>24</v>
      </c>
      <c r="C15" s="17" t="s">
        <v>25</v>
      </c>
      <c r="D15" s="18">
        <f>COUNTIF('OTP '!G4:G100,"P0")</f>
        <v>12</v>
      </c>
      <c r="E15" s="18">
        <f>COUNTIF('OTP '!G4:G100,"P1")</f>
        <v>13</v>
      </c>
      <c r="F15" s="18">
        <f>COUNTIF('OTP '!G4:G100,"P2")</f>
        <v>3</v>
      </c>
      <c r="G15" s="18">
        <f>COUNTA('OTP '!A4:A100)</f>
        <v>28</v>
      </c>
      <c r="H15" s="18" t="s">
        <v>26</v>
      </c>
    </row>
    <row r="16" ht="18.0" customHeight="1">
      <c r="B16" s="13" t="s">
        <v>27</v>
      </c>
      <c r="C16" s="14" t="s">
        <v>28</v>
      </c>
      <c r="D16" s="15">
        <f>COUNTIF('Dashboard '!G4:G100,"P0")</f>
        <v>8</v>
      </c>
      <c r="E16" s="15">
        <f>COUNTIF('Dashboard '!G4:G100,"P1")</f>
        <v>33</v>
      </c>
      <c r="F16" s="15">
        <f>COUNTIF('Dashboard '!G4:G100,"P2")</f>
        <v>9</v>
      </c>
      <c r="G16" s="15">
        <f>COUNTA('Dashboard '!A4:A100)</f>
        <v>50</v>
      </c>
      <c r="H16" s="15" t="s">
        <v>29</v>
      </c>
    </row>
    <row r="17" ht="18.0" customHeight="1">
      <c r="B17" s="16" t="s">
        <v>30</v>
      </c>
      <c r="C17" s="17" t="s">
        <v>31</v>
      </c>
      <c r="D17" s="18">
        <f>COUNTIF('Integration '!G4:G100,"P0")</f>
        <v>3</v>
      </c>
      <c r="E17" s="18">
        <f>COUNTIF('Integration '!G4:G100,"P1")</f>
        <v>3</v>
      </c>
      <c r="F17" s="18">
        <f>COUNTIF('Integration '!G4:G100,"P2")</f>
        <v>0</v>
      </c>
      <c r="G17" s="18">
        <f>COUNTA('Integration '!A4:A100)</f>
        <v>6</v>
      </c>
      <c r="H17" s="18" t="s">
        <v>32</v>
      </c>
    </row>
    <row r="18" ht="19.5" customHeight="1">
      <c r="B18" s="19" t="s">
        <v>33</v>
      </c>
      <c r="C18" s="20">
        <f t="shared" ref="C18:F18" si="1">SUM(C14:C17)</f>
        <v>0</v>
      </c>
      <c r="D18" s="20">
        <f t="shared" si="1"/>
        <v>38</v>
      </c>
      <c r="E18" s="20">
        <f t="shared" si="1"/>
        <v>65</v>
      </c>
      <c r="F18" s="20">
        <f t="shared" si="1"/>
        <v>15</v>
      </c>
      <c r="H18" s="21"/>
    </row>
    <row r="20" ht="21.75" customHeight="1">
      <c r="B20" s="11" t="s">
        <v>34</v>
      </c>
      <c r="C20" s="2"/>
      <c r="D20" s="2"/>
      <c r="E20" s="2"/>
      <c r="F20" s="2"/>
      <c r="G20" s="2"/>
      <c r="H20" s="3"/>
    </row>
    <row r="21" ht="18.0" customHeight="1">
      <c r="B21" s="12" t="s">
        <v>15</v>
      </c>
      <c r="C21" s="22" t="s">
        <v>35</v>
      </c>
      <c r="D21" s="8"/>
      <c r="E21" s="8"/>
      <c r="F21" s="8"/>
      <c r="G21" s="8"/>
      <c r="H21" s="23"/>
    </row>
    <row r="22" ht="15.75" customHeight="1">
      <c r="B22" s="24" t="s">
        <v>36</v>
      </c>
      <c r="C22" s="25" t="s">
        <v>37</v>
      </c>
      <c r="D22" s="8"/>
      <c r="E22" s="8"/>
      <c r="F22" s="8"/>
      <c r="G22" s="8"/>
      <c r="H22" s="6"/>
    </row>
    <row r="23" ht="15.75" customHeight="1">
      <c r="B23" s="26" t="s">
        <v>22</v>
      </c>
      <c r="C23" s="27" t="s">
        <v>38</v>
      </c>
      <c r="D23" s="8"/>
      <c r="E23" s="8"/>
      <c r="F23" s="8"/>
      <c r="G23" s="8"/>
      <c r="H23" s="6"/>
    </row>
    <row r="24" ht="15.75" customHeight="1">
      <c r="B24" s="24" t="s">
        <v>25</v>
      </c>
      <c r="C24" s="28" t="s">
        <v>39</v>
      </c>
      <c r="D24" s="8"/>
      <c r="E24" s="8"/>
      <c r="F24" s="8"/>
      <c r="G24" s="8"/>
      <c r="H24" s="6"/>
    </row>
    <row r="25" ht="15.75" customHeight="1">
      <c r="B25" s="26" t="s">
        <v>28</v>
      </c>
      <c r="C25" s="27" t="s">
        <v>40</v>
      </c>
      <c r="D25" s="8"/>
      <c r="E25" s="8"/>
      <c r="F25" s="8"/>
      <c r="G25" s="8"/>
      <c r="H25" s="6"/>
    </row>
    <row r="26" ht="15.75" customHeight="1">
      <c r="B26" s="24" t="s">
        <v>31</v>
      </c>
      <c r="C26" s="28" t="s">
        <v>41</v>
      </c>
      <c r="D26" s="8"/>
      <c r="E26" s="8"/>
      <c r="F26" s="8"/>
      <c r="G26" s="8"/>
      <c r="H26" s="6"/>
    </row>
    <row r="27" ht="15.75" customHeight="1">
      <c r="B27" s="26" t="s">
        <v>42</v>
      </c>
      <c r="C27" s="27" t="s">
        <v>43</v>
      </c>
      <c r="D27" s="8"/>
      <c r="E27" s="8"/>
      <c r="F27" s="8"/>
      <c r="G27" s="8"/>
      <c r="H27" s="6"/>
    </row>
    <row r="28" ht="15.75" customHeight="1">
      <c r="B28" s="24" t="s">
        <v>44</v>
      </c>
      <c r="C28" s="28" t="s">
        <v>45</v>
      </c>
      <c r="D28" s="8"/>
      <c r="E28" s="8"/>
      <c r="F28" s="8"/>
      <c r="G28" s="8"/>
      <c r="H28" s="6"/>
    </row>
    <row r="29" ht="15.75" customHeight="1">
      <c r="B29" s="26" t="s">
        <v>46</v>
      </c>
      <c r="C29" s="27" t="s">
        <v>47</v>
      </c>
      <c r="D29" s="8"/>
      <c r="E29" s="8"/>
      <c r="F29" s="8"/>
      <c r="G29" s="8"/>
      <c r="H29" s="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7:C7"/>
    <mergeCell ref="B8:C8"/>
    <mergeCell ref="B9:C9"/>
    <mergeCell ref="B10:C10"/>
    <mergeCell ref="B2:H2"/>
    <mergeCell ref="B3:H3"/>
    <mergeCell ref="B5:C5"/>
    <mergeCell ref="D5:H5"/>
    <mergeCell ref="B6:C6"/>
    <mergeCell ref="D6:H6"/>
    <mergeCell ref="D7:H7"/>
    <mergeCell ref="C23:H23"/>
    <mergeCell ref="C24:H24"/>
    <mergeCell ref="C25:H25"/>
    <mergeCell ref="C26:H26"/>
    <mergeCell ref="C27:H27"/>
    <mergeCell ref="C28:H28"/>
    <mergeCell ref="C29:H29"/>
    <mergeCell ref="D8:H8"/>
    <mergeCell ref="D9:H9"/>
    <mergeCell ref="D10:H10"/>
    <mergeCell ref="B12:H12"/>
    <mergeCell ref="B20:H20"/>
    <mergeCell ref="C21:H21"/>
    <mergeCell ref="C22:H2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6.86"/>
    <col customWidth="1" min="3" max="3" width="32.57"/>
    <col customWidth="1" min="4" max="4" width="48.0"/>
    <col customWidth="1" min="5" max="5" width="43.43"/>
    <col customWidth="1" min="6" max="6" width="44.14"/>
    <col customWidth="1" min="7" max="7" width="14.29"/>
    <col customWidth="1" min="8" max="8" width="24.0"/>
    <col customWidth="1" min="9" max="9" width="16.14"/>
    <col customWidth="1" min="10" max="26" width="8.71"/>
  </cols>
  <sheetData>
    <row r="1" ht="25.5" customHeight="1">
      <c r="A1" s="29" t="s">
        <v>48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12" t="s">
        <v>49</v>
      </c>
      <c r="B2" s="12" t="s">
        <v>50</v>
      </c>
      <c r="C2" s="12" t="s">
        <v>51</v>
      </c>
      <c r="D2" s="12" t="s">
        <v>52</v>
      </c>
      <c r="E2" s="12" t="s">
        <v>53</v>
      </c>
      <c r="F2" s="12" t="s">
        <v>54</v>
      </c>
      <c r="G2" s="12" t="s">
        <v>55</v>
      </c>
      <c r="H2" s="12" t="s">
        <v>56</v>
      </c>
      <c r="I2" s="12" t="s">
        <v>57</v>
      </c>
    </row>
    <row r="3" ht="3.75" customHeight="1">
      <c r="A3" s="30"/>
      <c r="B3" s="30"/>
      <c r="C3" s="30"/>
      <c r="D3" s="30"/>
      <c r="E3" s="30"/>
      <c r="F3" s="30"/>
      <c r="G3" s="30"/>
      <c r="H3" s="30"/>
      <c r="I3" s="30"/>
    </row>
    <row r="4" ht="51.75" customHeight="1">
      <c r="A4" s="13" t="s">
        <v>58</v>
      </c>
      <c r="B4" s="15" t="s">
        <v>59</v>
      </c>
      <c r="C4" s="15" t="s">
        <v>60</v>
      </c>
      <c r="D4" s="15" t="s">
        <v>61</v>
      </c>
      <c r="E4" s="15" t="s">
        <v>62</v>
      </c>
      <c r="F4" s="15" t="s">
        <v>63</v>
      </c>
      <c r="G4" s="31" t="s">
        <v>64</v>
      </c>
      <c r="H4" s="15" t="s">
        <v>65</v>
      </c>
      <c r="I4" s="15" t="s">
        <v>66</v>
      </c>
    </row>
    <row r="5" ht="51.75" customHeight="1">
      <c r="A5" s="16" t="s">
        <v>67</v>
      </c>
      <c r="B5" s="18" t="s">
        <v>68</v>
      </c>
      <c r="C5" s="32" t="s">
        <v>69</v>
      </c>
      <c r="D5" s="18" t="s">
        <v>70</v>
      </c>
      <c r="E5" s="32" t="s">
        <v>71</v>
      </c>
      <c r="F5" s="18" t="s">
        <v>72</v>
      </c>
      <c r="G5" s="31" t="s">
        <v>64</v>
      </c>
      <c r="H5" s="18" t="s">
        <v>73</v>
      </c>
      <c r="I5" s="18" t="s">
        <v>66</v>
      </c>
    </row>
    <row r="6" ht="51.75" customHeight="1">
      <c r="A6" s="13" t="s">
        <v>74</v>
      </c>
      <c r="B6" s="15" t="s">
        <v>75</v>
      </c>
      <c r="C6" s="15" t="s">
        <v>76</v>
      </c>
      <c r="D6" s="15" t="s">
        <v>77</v>
      </c>
      <c r="E6" s="15" t="s">
        <v>78</v>
      </c>
      <c r="F6" s="15" t="s">
        <v>79</v>
      </c>
      <c r="G6" s="33" t="s">
        <v>80</v>
      </c>
      <c r="H6" s="15" t="s">
        <v>81</v>
      </c>
      <c r="I6" s="15" t="s">
        <v>66</v>
      </c>
    </row>
    <row r="7" ht="51.75" customHeight="1">
      <c r="A7" s="16" t="s">
        <v>82</v>
      </c>
      <c r="B7" s="18" t="s">
        <v>83</v>
      </c>
      <c r="C7" s="18" t="s">
        <v>84</v>
      </c>
      <c r="D7" s="18" t="s">
        <v>85</v>
      </c>
      <c r="E7" s="18" t="s">
        <v>86</v>
      </c>
      <c r="F7" s="18" t="s">
        <v>87</v>
      </c>
      <c r="G7" s="33" t="s">
        <v>80</v>
      </c>
      <c r="H7" s="18" t="s">
        <v>88</v>
      </c>
      <c r="I7" s="18" t="s">
        <v>66</v>
      </c>
    </row>
    <row r="8" ht="51.75" customHeight="1">
      <c r="A8" s="13" t="s">
        <v>89</v>
      </c>
      <c r="B8" s="15" t="s">
        <v>90</v>
      </c>
      <c r="C8" s="15" t="s">
        <v>84</v>
      </c>
      <c r="D8" s="15" t="s">
        <v>91</v>
      </c>
      <c r="E8" s="15" t="s">
        <v>92</v>
      </c>
      <c r="F8" s="15" t="s">
        <v>93</v>
      </c>
      <c r="G8" s="31" t="s">
        <v>64</v>
      </c>
      <c r="H8" s="15" t="s">
        <v>94</v>
      </c>
      <c r="I8" s="15" t="s">
        <v>66</v>
      </c>
    </row>
    <row r="9" ht="51.75" customHeight="1">
      <c r="A9" s="16" t="s">
        <v>95</v>
      </c>
      <c r="B9" s="18" t="s">
        <v>96</v>
      </c>
      <c r="C9" s="18" t="s">
        <v>84</v>
      </c>
      <c r="D9" s="18" t="s">
        <v>97</v>
      </c>
      <c r="E9" s="18" t="s">
        <v>98</v>
      </c>
      <c r="F9" s="18" t="s">
        <v>99</v>
      </c>
      <c r="G9" s="31" t="s">
        <v>64</v>
      </c>
      <c r="H9" s="18"/>
      <c r="I9" s="18" t="s">
        <v>66</v>
      </c>
    </row>
    <row r="10" ht="51.75" customHeight="1">
      <c r="A10" s="13" t="s">
        <v>100</v>
      </c>
      <c r="B10" s="15" t="s">
        <v>101</v>
      </c>
      <c r="C10" s="15" t="s">
        <v>84</v>
      </c>
      <c r="D10" s="15" t="s">
        <v>102</v>
      </c>
      <c r="E10" s="15" t="s">
        <v>103</v>
      </c>
      <c r="F10" s="15" t="s">
        <v>104</v>
      </c>
      <c r="G10" s="31" t="s">
        <v>64</v>
      </c>
      <c r="H10" s="15"/>
      <c r="I10" s="15" t="s">
        <v>66</v>
      </c>
    </row>
    <row r="11" ht="51.75" customHeight="1">
      <c r="A11" s="16" t="s">
        <v>105</v>
      </c>
      <c r="B11" s="18" t="s">
        <v>106</v>
      </c>
      <c r="C11" s="18" t="s">
        <v>84</v>
      </c>
      <c r="D11" s="18" t="s">
        <v>107</v>
      </c>
      <c r="E11" s="18" t="s">
        <v>108</v>
      </c>
      <c r="F11" s="18" t="s">
        <v>109</v>
      </c>
      <c r="G11" s="33" t="s">
        <v>80</v>
      </c>
      <c r="H11" s="18" t="s">
        <v>110</v>
      </c>
      <c r="I11" s="18" t="s">
        <v>66</v>
      </c>
    </row>
    <row r="12" ht="51.75" customHeight="1">
      <c r="A12" s="13" t="s">
        <v>111</v>
      </c>
      <c r="B12" s="15" t="s">
        <v>112</v>
      </c>
      <c r="C12" s="15" t="s">
        <v>113</v>
      </c>
      <c r="D12" s="15" t="s">
        <v>114</v>
      </c>
      <c r="E12" s="15" t="s">
        <v>115</v>
      </c>
      <c r="F12" s="15" t="s">
        <v>116</v>
      </c>
      <c r="G12" s="31" t="s">
        <v>64</v>
      </c>
      <c r="H12" s="15" t="s">
        <v>117</v>
      </c>
      <c r="I12" s="15" t="s">
        <v>66</v>
      </c>
    </row>
    <row r="13" ht="51.75" customHeight="1">
      <c r="A13" s="16" t="s">
        <v>118</v>
      </c>
      <c r="B13" s="18" t="s">
        <v>119</v>
      </c>
      <c r="C13" s="18" t="s">
        <v>84</v>
      </c>
      <c r="D13" s="18" t="s">
        <v>120</v>
      </c>
      <c r="E13" s="18" t="s">
        <v>121</v>
      </c>
      <c r="F13" s="18" t="s">
        <v>122</v>
      </c>
      <c r="G13" s="31" t="s">
        <v>64</v>
      </c>
      <c r="H13" s="18" t="s">
        <v>123</v>
      </c>
      <c r="I13" s="18" t="s">
        <v>66</v>
      </c>
    </row>
    <row r="14" ht="51.75" customHeight="1">
      <c r="A14" s="13" t="s">
        <v>124</v>
      </c>
      <c r="B14" s="15" t="s">
        <v>125</v>
      </c>
      <c r="C14" s="15" t="s">
        <v>126</v>
      </c>
      <c r="D14" s="15" t="s">
        <v>127</v>
      </c>
      <c r="E14" s="15" t="s">
        <v>128</v>
      </c>
      <c r="F14" s="15" t="s">
        <v>129</v>
      </c>
      <c r="G14" s="31" t="s">
        <v>64</v>
      </c>
      <c r="H14" s="15" t="s">
        <v>130</v>
      </c>
      <c r="I14" s="15" t="s">
        <v>66</v>
      </c>
    </row>
    <row r="15" ht="51.75" customHeight="1">
      <c r="A15" s="16" t="s">
        <v>131</v>
      </c>
      <c r="B15" s="18" t="s">
        <v>132</v>
      </c>
      <c r="C15" s="18" t="s">
        <v>84</v>
      </c>
      <c r="D15" s="18" t="s">
        <v>133</v>
      </c>
      <c r="E15" s="18" t="s">
        <v>134</v>
      </c>
      <c r="F15" s="18" t="s">
        <v>135</v>
      </c>
      <c r="G15" s="34" t="s">
        <v>136</v>
      </c>
      <c r="H15" s="18" t="s">
        <v>137</v>
      </c>
      <c r="I15" s="18" t="s">
        <v>138</v>
      </c>
    </row>
    <row r="16" ht="51.75" customHeight="1">
      <c r="A16" s="13" t="s">
        <v>139</v>
      </c>
      <c r="B16" s="15" t="s">
        <v>140</v>
      </c>
      <c r="C16" s="15" t="s">
        <v>84</v>
      </c>
      <c r="D16" s="15" t="s">
        <v>141</v>
      </c>
      <c r="E16" s="15" t="s">
        <v>142</v>
      </c>
      <c r="F16" s="15" t="s">
        <v>143</v>
      </c>
      <c r="G16" s="33" t="s">
        <v>80</v>
      </c>
      <c r="H16" s="15" t="s">
        <v>144</v>
      </c>
      <c r="I16" s="15" t="s">
        <v>138</v>
      </c>
    </row>
    <row r="17" ht="51.75" customHeight="1">
      <c r="A17" s="16" t="s">
        <v>145</v>
      </c>
      <c r="B17" s="18" t="s">
        <v>146</v>
      </c>
      <c r="C17" s="18" t="s">
        <v>84</v>
      </c>
      <c r="D17" s="18" t="s">
        <v>147</v>
      </c>
      <c r="E17" s="18" t="s">
        <v>148</v>
      </c>
      <c r="F17" s="18" t="s">
        <v>149</v>
      </c>
      <c r="G17" s="31" t="s">
        <v>64</v>
      </c>
      <c r="H17" s="18" t="s">
        <v>150</v>
      </c>
      <c r="I17" s="18" t="s">
        <v>66</v>
      </c>
    </row>
    <row r="18" ht="51.75" customHeight="1">
      <c r="A18" s="13" t="s">
        <v>151</v>
      </c>
      <c r="B18" s="15" t="s">
        <v>152</v>
      </c>
      <c r="C18" s="15" t="s">
        <v>84</v>
      </c>
      <c r="D18" s="15" t="s">
        <v>153</v>
      </c>
      <c r="E18" s="15" t="s">
        <v>154</v>
      </c>
      <c r="F18" s="15" t="s">
        <v>155</v>
      </c>
      <c r="G18" s="31" t="s">
        <v>64</v>
      </c>
      <c r="H18" s="15" t="s">
        <v>156</v>
      </c>
      <c r="I18" s="15" t="s">
        <v>66</v>
      </c>
    </row>
    <row r="19" ht="51.75" customHeight="1">
      <c r="A19" s="16" t="s">
        <v>157</v>
      </c>
      <c r="B19" s="18" t="s">
        <v>158</v>
      </c>
      <c r="C19" s="18" t="s">
        <v>159</v>
      </c>
      <c r="D19" s="18" t="s">
        <v>160</v>
      </c>
      <c r="E19" s="18" t="s">
        <v>161</v>
      </c>
      <c r="F19" s="18" t="s">
        <v>162</v>
      </c>
      <c r="G19" s="33" t="s">
        <v>80</v>
      </c>
      <c r="H19" s="18" t="s">
        <v>163</v>
      </c>
      <c r="I19" s="18" t="s">
        <v>138</v>
      </c>
    </row>
    <row r="20" ht="51.75" customHeight="1">
      <c r="A20" s="13" t="s">
        <v>164</v>
      </c>
      <c r="B20" s="15" t="s">
        <v>165</v>
      </c>
      <c r="C20" s="15" t="s">
        <v>84</v>
      </c>
      <c r="D20" s="15" t="s">
        <v>166</v>
      </c>
      <c r="E20" s="15" t="s">
        <v>167</v>
      </c>
      <c r="F20" s="15" t="s">
        <v>168</v>
      </c>
      <c r="G20" s="33" t="s">
        <v>80</v>
      </c>
      <c r="H20" s="15" t="s">
        <v>169</v>
      </c>
      <c r="I20" s="15" t="s">
        <v>66</v>
      </c>
    </row>
    <row r="21" ht="51.75" customHeight="1">
      <c r="A21" s="16" t="s">
        <v>170</v>
      </c>
      <c r="B21" s="18" t="s">
        <v>171</v>
      </c>
      <c r="C21" s="18" t="s">
        <v>84</v>
      </c>
      <c r="D21" s="18" t="s">
        <v>172</v>
      </c>
      <c r="E21" s="18" t="s">
        <v>167</v>
      </c>
      <c r="F21" s="18" t="s">
        <v>173</v>
      </c>
      <c r="G21" s="33" t="s">
        <v>80</v>
      </c>
      <c r="H21" s="18"/>
      <c r="I21" s="18" t="s">
        <v>66</v>
      </c>
    </row>
    <row r="22" ht="51.75" customHeight="1">
      <c r="A22" s="13" t="s">
        <v>174</v>
      </c>
      <c r="B22" s="15" t="s">
        <v>175</v>
      </c>
      <c r="C22" s="15" t="s">
        <v>84</v>
      </c>
      <c r="D22" s="15" t="s">
        <v>176</v>
      </c>
      <c r="E22" s="15" t="s">
        <v>177</v>
      </c>
      <c r="F22" s="15" t="s">
        <v>178</v>
      </c>
      <c r="G22" s="33" t="s">
        <v>80</v>
      </c>
      <c r="H22" s="15" t="s">
        <v>179</v>
      </c>
      <c r="I22" s="15" t="s">
        <v>138</v>
      </c>
    </row>
    <row r="23" ht="51.75" customHeight="1">
      <c r="A23" s="16" t="s">
        <v>180</v>
      </c>
      <c r="B23" s="18" t="s">
        <v>181</v>
      </c>
      <c r="C23" s="18" t="s">
        <v>182</v>
      </c>
      <c r="D23" s="18" t="s">
        <v>183</v>
      </c>
      <c r="E23" s="18" t="s">
        <v>184</v>
      </c>
      <c r="F23" s="18" t="s">
        <v>185</v>
      </c>
      <c r="G23" s="33" t="s">
        <v>80</v>
      </c>
      <c r="H23" s="18" t="s">
        <v>186</v>
      </c>
      <c r="I23" s="18" t="s">
        <v>138</v>
      </c>
    </row>
    <row r="24" ht="51.75" customHeight="1">
      <c r="A24" s="13" t="s">
        <v>187</v>
      </c>
      <c r="B24" s="15" t="s">
        <v>188</v>
      </c>
      <c r="C24" s="15" t="s">
        <v>189</v>
      </c>
      <c r="D24" s="15" t="s">
        <v>190</v>
      </c>
      <c r="E24" s="15" t="s">
        <v>191</v>
      </c>
      <c r="F24" s="15" t="s">
        <v>192</v>
      </c>
      <c r="G24" s="33" t="s">
        <v>80</v>
      </c>
      <c r="H24" s="15" t="s">
        <v>193</v>
      </c>
      <c r="I24" s="15" t="s">
        <v>138</v>
      </c>
    </row>
    <row r="25" ht="51.75" customHeight="1">
      <c r="A25" s="16" t="s">
        <v>194</v>
      </c>
      <c r="B25" s="18" t="s">
        <v>195</v>
      </c>
      <c r="C25" s="18" t="s">
        <v>196</v>
      </c>
      <c r="D25" s="18" t="s">
        <v>197</v>
      </c>
      <c r="E25" s="18" t="s">
        <v>198</v>
      </c>
      <c r="F25" s="18" t="s">
        <v>199</v>
      </c>
      <c r="G25" s="31" t="s">
        <v>64</v>
      </c>
      <c r="H25" s="18" t="s">
        <v>200</v>
      </c>
      <c r="I25" s="18" t="s">
        <v>66</v>
      </c>
    </row>
    <row r="26" ht="51.75" customHeight="1">
      <c r="A26" s="13" t="s">
        <v>201</v>
      </c>
      <c r="B26" s="15" t="s">
        <v>202</v>
      </c>
      <c r="C26" s="15" t="s">
        <v>203</v>
      </c>
      <c r="D26" s="15" t="s">
        <v>204</v>
      </c>
      <c r="E26" s="15" t="s">
        <v>205</v>
      </c>
      <c r="F26" s="15" t="s">
        <v>206</v>
      </c>
      <c r="G26" s="31" t="s">
        <v>64</v>
      </c>
      <c r="H26" s="15" t="s">
        <v>207</v>
      </c>
      <c r="I26" s="15" t="s">
        <v>66</v>
      </c>
    </row>
    <row r="27" ht="51.75" customHeight="1">
      <c r="A27" s="16" t="s">
        <v>208</v>
      </c>
      <c r="B27" s="18" t="s">
        <v>209</v>
      </c>
      <c r="C27" s="18" t="s">
        <v>84</v>
      </c>
      <c r="D27" s="18" t="s">
        <v>210</v>
      </c>
      <c r="E27" s="18" t="s">
        <v>211</v>
      </c>
      <c r="F27" s="18" t="s">
        <v>212</v>
      </c>
      <c r="G27" s="31" t="s">
        <v>64</v>
      </c>
      <c r="H27" s="18" t="s">
        <v>207</v>
      </c>
      <c r="I27" s="18" t="s">
        <v>66</v>
      </c>
    </row>
    <row r="28" ht="51.75" customHeight="1">
      <c r="A28" s="13" t="s">
        <v>213</v>
      </c>
      <c r="B28" s="15" t="s">
        <v>214</v>
      </c>
      <c r="C28" s="15" t="s">
        <v>215</v>
      </c>
      <c r="D28" s="15" t="s">
        <v>216</v>
      </c>
      <c r="E28" s="15" t="s">
        <v>217</v>
      </c>
      <c r="F28" s="15" t="s">
        <v>218</v>
      </c>
      <c r="G28" s="34" t="s">
        <v>136</v>
      </c>
      <c r="H28" s="15" t="s">
        <v>219</v>
      </c>
      <c r="I28" s="15" t="s">
        <v>138</v>
      </c>
    </row>
    <row r="29" ht="51.75" customHeight="1">
      <c r="A29" s="16" t="s">
        <v>220</v>
      </c>
      <c r="B29" s="18" t="s">
        <v>221</v>
      </c>
      <c r="C29" s="18" t="s">
        <v>84</v>
      </c>
      <c r="D29" s="18" t="s">
        <v>222</v>
      </c>
      <c r="E29" s="18" t="s">
        <v>211</v>
      </c>
      <c r="F29" s="18" t="s">
        <v>223</v>
      </c>
      <c r="G29" s="33" t="s">
        <v>80</v>
      </c>
      <c r="H29" s="18" t="s">
        <v>224</v>
      </c>
      <c r="I29" s="18" t="s">
        <v>66</v>
      </c>
    </row>
    <row r="30" ht="51.75" customHeight="1">
      <c r="A30" s="13" t="s">
        <v>225</v>
      </c>
      <c r="B30" s="15" t="s">
        <v>226</v>
      </c>
      <c r="C30" s="15" t="s">
        <v>227</v>
      </c>
      <c r="D30" s="15" t="s">
        <v>228</v>
      </c>
      <c r="E30" s="15" t="s">
        <v>229</v>
      </c>
      <c r="F30" s="15" t="s">
        <v>230</v>
      </c>
      <c r="G30" s="31" t="s">
        <v>64</v>
      </c>
      <c r="H30" s="15" t="s">
        <v>231</v>
      </c>
      <c r="I30" s="15" t="s">
        <v>66</v>
      </c>
    </row>
    <row r="31" ht="51.75" customHeight="1">
      <c r="A31" s="16" t="s">
        <v>232</v>
      </c>
      <c r="B31" s="18" t="s">
        <v>233</v>
      </c>
      <c r="C31" s="18" t="s">
        <v>234</v>
      </c>
      <c r="D31" s="18" t="s">
        <v>235</v>
      </c>
      <c r="E31" s="18" t="s">
        <v>236</v>
      </c>
      <c r="F31" s="18" t="s">
        <v>237</v>
      </c>
      <c r="G31" s="33" t="s">
        <v>80</v>
      </c>
      <c r="H31" s="18" t="s">
        <v>238</v>
      </c>
      <c r="I31" s="18" t="s">
        <v>66</v>
      </c>
    </row>
    <row r="32" ht="51.75" customHeight="1">
      <c r="A32" s="13" t="s">
        <v>239</v>
      </c>
      <c r="B32" s="15" t="s">
        <v>240</v>
      </c>
      <c r="C32" s="15" t="s">
        <v>84</v>
      </c>
      <c r="D32" s="15" t="s">
        <v>241</v>
      </c>
      <c r="E32" s="15" t="s">
        <v>191</v>
      </c>
      <c r="F32" s="15" t="s">
        <v>242</v>
      </c>
      <c r="G32" s="33" t="s">
        <v>80</v>
      </c>
      <c r="H32" s="15"/>
      <c r="I32" s="15" t="s">
        <v>66</v>
      </c>
    </row>
    <row r="33" ht="51.75" customHeight="1">
      <c r="A33" s="16" t="s">
        <v>243</v>
      </c>
      <c r="B33" s="18" t="s">
        <v>244</v>
      </c>
      <c r="C33" s="18" t="s">
        <v>84</v>
      </c>
      <c r="D33" s="18" t="s">
        <v>245</v>
      </c>
      <c r="E33" s="18" t="s">
        <v>246</v>
      </c>
      <c r="F33" s="18" t="s">
        <v>247</v>
      </c>
      <c r="G33" s="33" t="s">
        <v>80</v>
      </c>
      <c r="H33" s="18" t="s">
        <v>248</v>
      </c>
      <c r="I33" s="18" t="s">
        <v>138</v>
      </c>
    </row>
    <row r="34" ht="51.75" customHeight="1">
      <c r="A34" s="13" t="s">
        <v>249</v>
      </c>
      <c r="B34" s="15" t="s">
        <v>250</v>
      </c>
      <c r="C34" s="15" t="s">
        <v>84</v>
      </c>
      <c r="D34" s="15" t="s">
        <v>251</v>
      </c>
      <c r="E34" s="15" t="s">
        <v>252</v>
      </c>
      <c r="F34" s="15" t="s">
        <v>253</v>
      </c>
      <c r="G34" s="31" t="s">
        <v>64</v>
      </c>
      <c r="H34" s="15" t="s">
        <v>254</v>
      </c>
      <c r="I34" s="15" t="s">
        <v>66</v>
      </c>
    </row>
    <row r="35" ht="51.75" customHeight="1">
      <c r="A35" s="16" t="s">
        <v>255</v>
      </c>
      <c r="B35" s="18" t="s">
        <v>256</v>
      </c>
      <c r="C35" s="18" t="s">
        <v>257</v>
      </c>
      <c r="D35" s="18" t="s">
        <v>258</v>
      </c>
      <c r="E35" s="18" t="s">
        <v>259</v>
      </c>
      <c r="F35" s="18" t="s">
        <v>260</v>
      </c>
      <c r="G35" s="33" t="s">
        <v>80</v>
      </c>
      <c r="H35" s="18" t="s">
        <v>261</v>
      </c>
      <c r="I35" s="18" t="s">
        <v>66</v>
      </c>
    </row>
    <row r="36" ht="51.75" customHeight="1">
      <c r="A36" s="13" t="s">
        <v>262</v>
      </c>
      <c r="B36" s="15" t="s">
        <v>263</v>
      </c>
      <c r="C36" s="15" t="s">
        <v>84</v>
      </c>
      <c r="D36" s="15" t="s">
        <v>264</v>
      </c>
      <c r="E36" s="15" t="s">
        <v>265</v>
      </c>
      <c r="F36" s="15" t="s">
        <v>266</v>
      </c>
      <c r="G36" s="34" t="s">
        <v>136</v>
      </c>
      <c r="H36" s="15" t="s">
        <v>267</v>
      </c>
      <c r="I36" s="15" t="s">
        <v>138</v>
      </c>
    </row>
    <row r="37" ht="51.75" customHeight="1">
      <c r="A37" s="16" t="s">
        <v>268</v>
      </c>
      <c r="B37" s="18" t="s">
        <v>269</v>
      </c>
      <c r="C37" s="18" t="s">
        <v>270</v>
      </c>
      <c r="D37" s="18" t="s">
        <v>271</v>
      </c>
      <c r="E37" s="18" t="s">
        <v>272</v>
      </c>
      <c r="F37" s="18" t="s">
        <v>273</v>
      </c>
      <c r="G37" s="33" t="s">
        <v>80</v>
      </c>
      <c r="H37" s="18" t="s">
        <v>274</v>
      </c>
      <c r="I37" s="18" t="s">
        <v>66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I$37"/>
  <mergeCells count="1">
    <mergeCell ref="A1:I1"/>
  </mergeCells>
  <hyperlinks>
    <hyperlink r:id="rId1" ref="C5"/>
    <hyperlink r:id="rId2" ref="E5"/>
  </hyperlinks>
  <printOptions/>
  <pageMargins bottom="1.0" footer="0.0" header="0.0" left="0.75" right="0.75" top="1.0"/>
  <pageSetup paperSize="9"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43.86"/>
    <col customWidth="1" min="4" max="4" width="48.0"/>
    <col customWidth="1" min="5" max="5" width="36.29"/>
    <col customWidth="1" min="6" max="6" width="48.57"/>
    <col customWidth="1" min="7" max="7" width="29.0"/>
    <col customWidth="1" min="8" max="8" width="32.43"/>
    <col customWidth="1" min="9" max="9" width="18.43"/>
    <col customWidth="1" min="10" max="26" width="8.71"/>
  </cols>
  <sheetData>
    <row r="1" ht="25.5" customHeight="1">
      <c r="A1" s="29" t="s">
        <v>275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12" t="s">
        <v>49</v>
      </c>
      <c r="B2" s="12" t="s">
        <v>50</v>
      </c>
      <c r="C2" s="12" t="s">
        <v>51</v>
      </c>
      <c r="D2" s="12" t="s">
        <v>52</v>
      </c>
      <c r="E2" s="12" t="s">
        <v>53</v>
      </c>
      <c r="F2" s="12" t="s">
        <v>54</v>
      </c>
      <c r="G2" s="12" t="s">
        <v>55</v>
      </c>
      <c r="H2" s="12" t="s">
        <v>56</v>
      </c>
      <c r="I2" s="12" t="s">
        <v>57</v>
      </c>
    </row>
    <row r="3" ht="3.75" customHeight="1">
      <c r="A3" s="30"/>
      <c r="B3" s="30"/>
      <c r="C3" s="30"/>
      <c r="D3" s="30"/>
      <c r="E3" s="30"/>
      <c r="F3" s="30"/>
      <c r="G3" s="30"/>
      <c r="H3" s="30"/>
      <c r="I3" s="30"/>
    </row>
    <row r="4" ht="51.75" customHeight="1">
      <c r="A4" s="13" t="s">
        <v>276</v>
      </c>
      <c r="B4" s="15" t="s">
        <v>277</v>
      </c>
      <c r="C4" s="15" t="s">
        <v>278</v>
      </c>
      <c r="D4" s="15" t="s">
        <v>279</v>
      </c>
      <c r="E4" s="15" t="s">
        <v>280</v>
      </c>
      <c r="F4" s="15" t="s">
        <v>281</v>
      </c>
      <c r="G4" s="31" t="s">
        <v>64</v>
      </c>
      <c r="H4" s="15" t="s">
        <v>282</v>
      </c>
      <c r="I4" s="15" t="s">
        <v>66</v>
      </c>
    </row>
    <row r="5" ht="51.75" customHeight="1">
      <c r="A5" s="16" t="s">
        <v>283</v>
      </c>
      <c r="B5" s="18" t="s">
        <v>284</v>
      </c>
      <c r="C5" s="18" t="s">
        <v>285</v>
      </c>
      <c r="D5" s="18" t="s">
        <v>286</v>
      </c>
      <c r="E5" s="32" t="s">
        <v>287</v>
      </c>
      <c r="F5" s="18" t="s">
        <v>288</v>
      </c>
      <c r="G5" s="31" t="s">
        <v>64</v>
      </c>
      <c r="H5" s="18"/>
      <c r="I5" s="18" t="s">
        <v>66</v>
      </c>
    </row>
    <row r="6" ht="51.75" customHeight="1">
      <c r="A6" s="13" t="s">
        <v>289</v>
      </c>
      <c r="B6" s="15" t="s">
        <v>290</v>
      </c>
      <c r="C6" s="15" t="s">
        <v>291</v>
      </c>
      <c r="D6" s="15" t="s">
        <v>292</v>
      </c>
      <c r="E6" s="15" t="s">
        <v>293</v>
      </c>
      <c r="F6" s="15" t="s">
        <v>294</v>
      </c>
      <c r="G6" s="31" t="s">
        <v>64</v>
      </c>
      <c r="H6" s="15" t="s">
        <v>295</v>
      </c>
      <c r="I6" s="15" t="s">
        <v>66</v>
      </c>
    </row>
    <row r="7" ht="51.75" customHeight="1">
      <c r="A7" s="16" t="s">
        <v>296</v>
      </c>
      <c r="B7" s="18" t="s">
        <v>297</v>
      </c>
      <c r="C7" s="18" t="s">
        <v>291</v>
      </c>
      <c r="D7" s="18" t="s">
        <v>298</v>
      </c>
      <c r="E7" s="18" t="s">
        <v>299</v>
      </c>
      <c r="F7" s="18" t="s">
        <v>300</v>
      </c>
      <c r="G7" s="33" t="s">
        <v>80</v>
      </c>
      <c r="H7" s="18" t="s">
        <v>301</v>
      </c>
      <c r="I7" s="18" t="s">
        <v>66</v>
      </c>
    </row>
    <row r="8" ht="51.75" customHeight="1">
      <c r="A8" s="13" t="s">
        <v>302</v>
      </c>
      <c r="B8" s="15" t="s">
        <v>303</v>
      </c>
      <c r="C8" s="15" t="s">
        <v>291</v>
      </c>
      <c r="D8" s="15" t="s">
        <v>304</v>
      </c>
      <c r="E8" s="15" t="s">
        <v>305</v>
      </c>
      <c r="F8" s="15" t="s">
        <v>306</v>
      </c>
      <c r="G8" s="33" t="s">
        <v>80</v>
      </c>
      <c r="H8" s="15" t="s">
        <v>307</v>
      </c>
      <c r="I8" s="15" t="s">
        <v>66</v>
      </c>
    </row>
    <row r="9" ht="51.75" customHeight="1">
      <c r="A9" s="16" t="s">
        <v>308</v>
      </c>
      <c r="B9" s="18" t="s">
        <v>309</v>
      </c>
      <c r="C9" s="18" t="s">
        <v>291</v>
      </c>
      <c r="D9" s="18" t="s">
        <v>310</v>
      </c>
      <c r="E9" s="18" t="s">
        <v>311</v>
      </c>
      <c r="F9" s="18" t="s">
        <v>312</v>
      </c>
      <c r="G9" s="33" t="s">
        <v>80</v>
      </c>
      <c r="H9" s="18"/>
      <c r="I9" s="18" t="s">
        <v>66</v>
      </c>
    </row>
    <row r="10" ht="51.75" customHeight="1">
      <c r="A10" s="13" t="s">
        <v>313</v>
      </c>
      <c r="B10" s="15" t="s">
        <v>314</v>
      </c>
      <c r="C10" s="15" t="s">
        <v>291</v>
      </c>
      <c r="D10" s="15" t="s">
        <v>315</v>
      </c>
      <c r="E10" s="15" t="s">
        <v>316</v>
      </c>
      <c r="F10" s="15" t="s">
        <v>317</v>
      </c>
      <c r="G10" s="31" t="s">
        <v>64</v>
      </c>
      <c r="H10" s="15"/>
      <c r="I10" s="15" t="s">
        <v>66</v>
      </c>
    </row>
    <row r="11" ht="51.75" customHeight="1">
      <c r="A11" s="16" t="s">
        <v>318</v>
      </c>
      <c r="B11" s="18" t="s">
        <v>319</v>
      </c>
      <c r="C11" s="18" t="s">
        <v>320</v>
      </c>
      <c r="D11" s="18" t="s">
        <v>321</v>
      </c>
      <c r="E11" s="18" t="s">
        <v>322</v>
      </c>
      <c r="F11" s="18" t="s">
        <v>323</v>
      </c>
      <c r="G11" s="31" t="s">
        <v>64</v>
      </c>
      <c r="H11" s="18" t="s">
        <v>324</v>
      </c>
      <c r="I11" s="18" t="s">
        <v>66</v>
      </c>
    </row>
    <row r="12" ht="51.75" customHeight="1">
      <c r="A12" s="13" t="s">
        <v>325</v>
      </c>
      <c r="B12" s="15" t="s">
        <v>326</v>
      </c>
      <c r="C12" s="15" t="s">
        <v>327</v>
      </c>
      <c r="D12" s="15" t="s">
        <v>328</v>
      </c>
      <c r="E12" s="15" t="s">
        <v>329</v>
      </c>
      <c r="F12" s="15" t="s">
        <v>330</v>
      </c>
      <c r="G12" s="33" t="s">
        <v>80</v>
      </c>
      <c r="H12" s="15"/>
      <c r="I12" s="15" t="s">
        <v>66</v>
      </c>
    </row>
    <row r="13" ht="51.75" customHeight="1">
      <c r="A13" s="16" t="s">
        <v>331</v>
      </c>
      <c r="B13" s="18" t="s">
        <v>332</v>
      </c>
      <c r="C13" s="18" t="s">
        <v>291</v>
      </c>
      <c r="D13" s="18" t="s">
        <v>333</v>
      </c>
      <c r="E13" s="18" t="s">
        <v>334</v>
      </c>
      <c r="F13" s="18" t="s">
        <v>335</v>
      </c>
      <c r="G13" s="33" t="s">
        <v>80</v>
      </c>
      <c r="H13" s="18" t="s">
        <v>336</v>
      </c>
      <c r="I13" s="18" t="s">
        <v>66</v>
      </c>
    </row>
    <row r="14" ht="51.75" customHeight="1">
      <c r="A14" s="13" t="s">
        <v>337</v>
      </c>
      <c r="B14" s="15" t="s">
        <v>338</v>
      </c>
      <c r="C14" s="15" t="s">
        <v>339</v>
      </c>
      <c r="D14" s="15" t="s">
        <v>340</v>
      </c>
      <c r="E14" s="15" t="s">
        <v>341</v>
      </c>
      <c r="F14" s="15" t="s">
        <v>342</v>
      </c>
      <c r="G14" s="31" t="s">
        <v>64</v>
      </c>
      <c r="H14" s="15"/>
      <c r="I14" s="15" t="s">
        <v>66</v>
      </c>
    </row>
    <row r="15" ht="51.75" customHeight="1">
      <c r="A15" s="16" t="s">
        <v>343</v>
      </c>
      <c r="B15" s="18" t="s">
        <v>344</v>
      </c>
      <c r="C15" s="18" t="s">
        <v>345</v>
      </c>
      <c r="D15" s="18" t="s">
        <v>346</v>
      </c>
      <c r="E15" s="18" t="s">
        <v>347</v>
      </c>
      <c r="F15" s="18" t="s">
        <v>348</v>
      </c>
      <c r="G15" s="31" t="s">
        <v>64</v>
      </c>
      <c r="H15" s="18" t="s">
        <v>349</v>
      </c>
      <c r="I15" s="18" t="s">
        <v>66</v>
      </c>
    </row>
    <row r="16" ht="51.75" customHeight="1">
      <c r="A16" s="13" t="s">
        <v>350</v>
      </c>
      <c r="B16" s="15" t="s">
        <v>351</v>
      </c>
      <c r="C16" s="15" t="s">
        <v>352</v>
      </c>
      <c r="D16" s="15" t="s">
        <v>353</v>
      </c>
      <c r="E16" s="15" t="s">
        <v>354</v>
      </c>
      <c r="F16" s="15" t="s">
        <v>355</v>
      </c>
      <c r="G16" s="33" t="s">
        <v>80</v>
      </c>
      <c r="H16" s="15" t="s">
        <v>356</v>
      </c>
      <c r="I16" s="15" t="s">
        <v>66</v>
      </c>
    </row>
    <row r="17" ht="51.75" customHeight="1">
      <c r="A17" s="16" t="s">
        <v>357</v>
      </c>
      <c r="B17" s="18" t="s">
        <v>358</v>
      </c>
      <c r="C17" s="18" t="s">
        <v>359</v>
      </c>
      <c r="D17" s="18" t="s">
        <v>360</v>
      </c>
      <c r="E17" s="18" t="s">
        <v>361</v>
      </c>
      <c r="F17" s="18" t="s">
        <v>362</v>
      </c>
      <c r="G17" s="31" t="s">
        <v>64</v>
      </c>
      <c r="H17" s="18" t="s">
        <v>363</v>
      </c>
      <c r="I17" s="18" t="s">
        <v>66</v>
      </c>
    </row>
    <row r="18" ht="51.75" customHeight="1">
      <c r="A18" s="13" t="s">
        <v>364</v>
      </c>
      <c r="B18" s="15" t="s">
        <v>365</v>
      </c>
      <c r="C18" s="15" t="s">
        <v>366</v>
      </c>
      <c r="D18" s="15" t="s">
        <v>367</v>
      </c>
      <c r="E18" s="15" t="s">
        <v>191</v>
      </c>
      <c r="F18" s="15" t="s">
        <v>368</v>
      </c>
      <c r="G18" s="33" t="s">
        <v>80</v>
      </c>
      <c r="H18" s="15" t="s">
        <v>369</v>
      </c>
      <c r="I18" s="15" t="s">
        <v>66</v>
      </c>
    </row>
    <row r="19" ht="51.75" customHeight="1">
      <c r="A19" s="16" t="s">
        <v>370</v>
      </c>
      <c r="B19" s="18" t="s">
        <v>371</v>
      </c>
      <c r="C19" s="18" t="s">
        <v>372</v>
      </c>
      <c r="D19" s="18" t="s">
        <v>373</v>
      </c>
      <c r="E19" s="18" t="s">
        <v>374</v>
      </c>
      <c r="F19" s="18" t="s">
        <v>375</v>
      </c>
      <c r="G19" s="31" t="s">
        <v>64</v>
      </c>
      <c r="H19" s="18" t="s">
        <v>376</v>
      </c>
      <c r="I19" s="18" t="s">
        <v>66</v>
      </c>
    </row>
    <row r="20" ht="51.75" customHeight="1">
      <c r="A20" s="13" t="s">
        <v>377</v>
      </c>
      <c r="B20" s="15" t="s">
        <v>378</v>
      </c>
      <c r="C20" s="15" t="s">
        <v>366</v>
      </c>
      <c r="D20" s="15" t="s">
        <v>379</v>
      </c>
      <c r="E20" s="15" t="s">
        <v>380</v>
      </c>
      <c r="F20" s="15" t="s">
        <v>381</v>
      </c>
      <c r="G20" s="31" t="s">
        <v>64</v>
      </c>
      <c r="H20" s="15" t="s">
        <v>207</v>
      </c>
      <c r="I20" s="15" t="s">
        <v>66</v>
      </c>
    </row>
    <row r="21" ht="51.75" customHeight="1">
      <c r="A21" s="16" t="s">
        <v>382</v>
      </c>
      <c r="B21" s="18" t="s">
        <v>383</v>
      </c>
      <c r="C21" s="18" t="s">
        <v>384</v>
      </c>
      <c r="D21" s="18" t="s">
        <v>385</v>
      </c>
      <c r="E21" s="18" t="s">
        <v>386</v>
      </c>
      <c r="F21" s="18" t="s">
        <v>387</v>
      </c>
      <c r="G21" s="31" t="s">
        <v>64</v>
      </c>
      <c r="H21" s="18" t="s">
        <v>388</v>
      </c>
      <c r="I21" s="18" t="s">
        <v>66</v>
      </c>
    </row>
    <row r="22" ht="51.75" customHeight="1">
      <c r="A22" s="13" t="s">
        <v>389</v>
      </c>
      <c r="B22" s="15" t="s">
        <v>390</v>
      </c>
      <c r="C22" s="15" t="s">
        <v>291</v>
      </c>
      <c r="D22" s="15" t="s">
        <v>391</v>
      </c>
      <c r="E22" s="15" t="s">
        <v>392</v>
      </c>
      <c r="F22" s="15" t="s">
        <v>393</v>
      </c>
      <c r="G22" s="34" t="s">
        <v>136</v>
      </c>
      <c r="H22" s="15" t="s">
        <v>394</v>
      </c>
      <c r="I22" s="15" t="s">
        <v>138</v>
      </c>
    </row>
    <row r="23" ht="51.75" customHeight="1">
      <c r="A23" s="16" t="s">
        <v>395</v>
      </c>
      <c r="B23" s="18" t="s">
        <v>175</v>
      </c>
      <c r="C23" s="18" t="s">
        <v>291</v>
      </c>
      <c r="D23" s="18" t="s">
        <v>396</v>
      </c>
      <c r="E23" s="18" t="s">
        <v>246</v>
      </c>
      <c r="F23" s="18" t="s">
        <v>397</v>
      </c>
      <c r="G23" s="33" t="s">
        <v>80</v>
      </c>
      <c r="H23" s="18" t="s">
        <v>398</v>
      </c>
      <c r="I23" s="18" t="s">
        <v>138</v>
      </c>
    </row>
    <row r="24" ht="51.75" customHeight="1">
      <c r="A24" s="13" t="s">
        <v>399</v>
      </c>
      <c r="B24" s="15" t="s">
        <v>400</v>
      </c>
      <c r="C24" s="15" t="s">
        <v>401</v>
      </c>
      <c r="D24" s="15" t="s">
        <v>402</v>
      </c>
      <c r="E24" s="15" t="s">
        <v>403</v>
      </c>
      <c r="F24" s="15" t="s">
        <v>404</v>
      </c>
      <c r="G24" s="33" t="s">
        <v>80</v>
      </c>
      <c r="H24" s="15" t="s">
        <v>405</v>
      </c>
      <c r="I24" s="15" t="s">
        <v>138</v>
      </c>
    </row>
    <row r="25" ht="51.75" customHeight="1">
      <c r="A25" s="16" t="s">
        <v>406</v>
      </c>
      <c r="B25" s="18" t="s">
        <v>407</v>
      </c>
      <c r="C25" s="18" t="s">
        <v>401</v>
      </c>
      <c r="D25" s="18" t="s">
        <v>408</v>
      </c>
      <c r="E25" s="18" t="s">
        <v>403</v>
      </c>
      <c r="F25" s="18" t="s">
        <v>409</v>
      </c>
      <c r="G25" s="33" t="s">
        <v>80</v>
      </c>
      <c r="H25" s="18" t="s">
        <v>410</v>
      </c>
      <c r="I25" s="18" t="s">
        <v>138</v>
      </c>
    </row>
    <row r="26" ht="51.75" customHeight="1">
      <c r="A26" s="13" t="s">
        <v>411</v>
      </c>
      <c r="B26" s="15" t="s">
        <v>412</v>
      </c>
      <c r="C26" s="15" t="s">
        <v>413</v>
      </c>
      <c r="D26" s="15" t="s">
        <v>414</v>
      </c>
      <c r="E26" s="15" t="s">
        <v>191</v>
      </c>
      <c r="F26" s="15" t="s">
        <v>415</v>
      </c>
      <c r="G26" s="33" t="s">
        <v>80</v>
      </c>
      <c r="H26" s="15"/>
      <c r="I26" s="15" t="s">
        <v>138</v>
      </c>
    </row>
    <row r="27" ht="51.75" customHeight="1">
      <c r="A27" s="16" t="s">
        <v>416</v>
      </c>
      <c r="B27" s="18" t="s">
        <v>417</v>
      </c>
      <c r="C27" s="18" t="s">
        <v>227</v>
      </c>
      <c r="D27" s="18" t="s">
        <v>418</v>
      </c>
      <c r="E27" s="18" t="s">
        <v>419</v>
      </c>
      <c r="F27" s="18" t="s">
        <v>420</v>
      </c>
      <c r="G27" s="31" t="s">
        <v>64</v>
      </c>
      <c r="H27" s="18" t="s">
        <v>421</v>
      </c>
      <c r="I27" s="18" t="s">
        <v>66</v>
      </c>
    </row>
    <row r="28" ht="51.75" customHeight="1">
      <c r="A28" s="13" t="s">
        <v>422</v>
      </c>
      <c r="B28" s="15" t="s">
        <v>423</v>
      </c>
      <c r="C28" s="15" t="s">
        <v>424</v>
      </c>
      <c r="D28" s="15" t="s">
        <v>425</v>
      </c>
      <c r="E28" s="15" t="s">
        <v>426</v>
      </c>
      <c r="F28" s="15" t="s">
        <v>427</v>
      </c>
      <c r="G28" s="33" t="s">
        <v>80</v>
      </c>
      <c r="H28" s="15"/>
      <c r="I28" s="15" t="s">
        <v>66</v>
      </c>
    </row>
    <row r="29" ht="51.75" customHeight="1">
      <c r="A29" s="16" t="s">
        <v>428</v>
      </c>
      <c r="B29" s="18" t="s">
        <v>429</v>
      </c>
      <c r="C29" s="18" t="s">
        <v>291</v>
      </c>
      <c r="D29" s="18" t="s">
        <v>430</v>
      </c>
      <c r="E29" s="18" t="s">
        <v>431</v>
      </c>
      <c r="F29" s="18" t="s">
        <v>432</v>
      </c>
      <c r="G29" s="33" t="s">
        <v>80</v>
      </c>
      <c r="H29" s="18"/>
      <c r="I29" s="18" t="s">
        <v>66</v>
      </c>
    </row>
    <row r="30" ht="51.75" customHeight="1">
      <c r="A30" s="13" t="s">
        <v>433</v>
      </c>
      <c r="B30" s="15" t="s">
        <v>434</v>
      </c>
      <c r="C30" s="15" t="s">
        <v>435</v>
      </c>
      <c r="D30" s="15" t="s">
        <v>436</v>
      </c>
      <c r="E30" s="15" t="s">
        <v>437</v>
      </c>
      <c r="F30" s="15" t="s">
        <v>438</v>
      </c>
      <c r="G30" s="34" t="s">
        <v>136</v>
      </c>
      <c r="H30" s="15" t="s">
        <v>439</v>
      </c>
      <c r="I30" s="15" t="s">
        <v>138</v>
      </c>
    </row>
    <row r="31" ht="51.75" customHeight="1">
      <c r="A31" s="16" t="s">
        <v>440</v>
      </c>
      <c r="B31" s="18" t="s">
        <v>441</v>
      </c>
      <c r="C31" s="18" t="s">
        <v>442</v>
      </c>
      <c r="D31" s="18" t="s">
        <v>443</v>
      </c>
      <c r="E31" s="18" t="s">
        <v>444</v>
      </c>
      <c r="F31" s="18" t="s">
        <v>445</v>
      </c>
      <c r="G31" s="34" t="s">
        <v>136</v>
      </c>
      <c r="H31" s="18" t="s">
        <v>446</v>
      </c>
      <c r="I31" s="18" t="s">
        <v>138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I$31"/>
  <mergeCells count="1">
    <mergeCell ref="A1:I1"/>
  </mergeCells>
  <hyperlinks>
    <hyperlink r:id="rId1" ref="E5"/>
  </hyperlinks>
  <printOptions/>
  <pageMargins bottom="1.0" footer="0.0" header="0.0" left="0.75" right="0.75" top="1.0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41.0"/>
    <col customWidth="1" min="3" max="3" width="39.57"/>
    <col customWidth="1" min="4" max="4" width="57.14"/>
    <col customWidth="1" min="5" max="5" width="37.43"/>
    <col customWidth="1" min="6" max="6" width="50.57"/>
    <col customWidth="1" min="7" max="7" width="24.29"/>
    <col customWidth="1" min="8" max="8" width="28.86"/>
    <col customWidth="1" min="9" max="9" width="25.86"/>
    <col customWidth="1" min="10" max="26" width="8.71"/>
  </cols>
  <sheetData>
    <row r="1" ht="25.5" customHeight="1">
      <c r="A1" s="29" t="s">
        <v>447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12" t="s">
        <v>49</v>
      </c>
      <c r="B2" s="12" t="s">
        <v>50</v>
      </c>
      <c r="C2" s="12" t="s">
        <v>51</v>
      </c>
      <c r="D2" s="12" t="s">
        <v>52</v>
      </c>
      <c r="E2" s="12" t="s">
        <v>53</v>
      </c>
      <c r="F2" s="12" t="s">
        <v>54</v>
      </c>
      <c r="G2" s="12" t="s">
        <v>55</v>
      </c>
      <c r="H2" s="12" t="s">
        <v>56</v>
      </c>
      <c r="I2" s="12" t="s">
        <v>57</v>
      </c>
    </row>
    <row r="3" ht="3.75" customHeight="1">
      <c r="A3" s="30"/>
      <c r="B3" s="30"/>
      <c r="C3" s="30"/>
      <c r="D3" s="30"/>
      <c r="E3" s="30"/>
      <c r="F3" s="30"/>
      <c r="G3" s="30"/>
      <c r="H3" s="30"/>
      <c r="I3" s="30"/>
    </row>
    <row r="4" ht="51.75" customHeight="1">
      <c r="A4" s="13" t="s">
        <v>448</v>
      </c>
      <c r="B4" s="15" t="s">
        <v>449</v>
      </c>
      <c r="C4" s="15" t="s">
        <v>450</v>
      </c>
      <c r="D4" s="15" t="s">
        <v>451</v>
      </c>
      <c r="E4" s="15" t="s">
        <v>452</v>
      </c>
      <c r="F4" s="15" t="s">
        <v>453</v>
      </c>
      <c r="G4" s="31" t="s">
        <v>64</v>
      </c>
      <c r="H4" s="15" t="s">
        <v>454</v>
      </c>
      <c r="I4" s="15" t="s">
        <v>66</v>
      </c>
    </row>
    <row r="5" ht="51.75" customHeight="1">
      <c r="A5" s="16" t="s">
        <v>455</v>
      </c>
      <c r="B5" s="18" t="s">
        <v>456</v>
      </c>
      <c r="C5" s="18" t="s">
        <v>457</v>
      </c>
      <c r="D5" s="18" t="s">
        <v>458</v>
      </c>
      <c r="E5" s="18" t="s">
        <v>459</v>
      </c>
      <c r="F5" s="18" t="s">
        <v>460</v>
      </c>
      <c r="G5" s="31" t="s">
        <v>64</v>
      </c>
      <c r="H5" s="18" t="s">
        <v>461</v>
      </c>
      <c r="I5" s="18" t="s">
        <v>66</v>
      </c>
    </row>
    <row r="6" ht="51.75" customHeight="1">
      <c r="A6" s="13" t="s">
        <v>462</v>
      </c>
      <c r="B6" s="15" t="s">
        <v>463</v>
      </c>
      <c r="C6" s="15" t="s">
        <v>464</v>
      </c>
      <c r="D6" s="15" t="s">
        <v>465</v>
      </c>
      <c r="E6" s="15" t="s">
        <v>466</v>
      </c>
      <c r="F6" s="15" t="s">
        <v>467</v>
      </c>
      <c r="G6" s="31" t="s">
        <v>64</v>
      </c>
      <c r="H6" s="15" t="s">
        <v>207</v>
      </c>
      <c r="I6" s="15" t="s">
        <v>66</v>
      </c>
    </row>
    <row r="7" ht="51.75" customHeight="1">
      <c r="A7" s="16" t="s">
        <v>468</v>
      </c>
      <c r="B7" s="18" t="s">
        <v>469</v>
      </c>
      <c r="C7" s="18" t="s">
        <v>470</v>
      </c>
      <c r="D7" s="18" t="s">
        <v>471</v>
      </c>
      <c r="E7" s="18" t="s">
        <v>472</v>
      </c>
      <c r="F7" s="18" t="s">
        <v>473</v>
      </c>
      <c r="G7" s="33" t="s">
        <v>80</v>
      </c>
      <c r="H7" s="18" t="s">
        <v>474</v>
      </c>
      <c r="I7" s="18" t="s">
        <v>66</v>
      </c>
    </row>
    <row r="8" ht="51.75" customHeight="1">
      <c r="A8" s="13" t="s">
        <v>475</v>
      </c>
      <c r="B8" s="15" t="s">
        <v>476</v>
      </c>
      <c r="C8" s="15" t="s">
        <v>477</v>
      </c>
      <c r="D8" s="15" t="s">
        <v>478</v>
      </c>
      <c r="E8" s="15" t="s">
        <v>479</v>
      </c>
      <c r="F8" s="15" t="s">
        <v>480</v>
      </c>
      <c r="G8" s="33" t="s">
        <v>80</v>
      </c>
      <c r="H8" s="15"/>
      <c r="I8" s="15" t="s">
        <v>66</v>
      </c>
    </row>
    <row r="9" ht="51.75" customHeight="1">
      <c r="A9" s="16" t="s">
        <v>481</v>
      </c>
      <c r="B9" s="18" t="s">
        <v>482</v>
      </c>
      <c r="C9" s="18" t="s">
        <v>477</v>
      </c>
      <c r="D9" s="18" t="s">
        <v>483</v>
      </c>
      <c r="E9" s="18" t="s">
        <v>484</v>
      </c>
      <c r="F9" s="18" t="s">
        <v>485</v>
      </c>
      <c r="G9" s="33" t="s">
        <v>80</v>
      </c>
      <c r="H9" s="18"/>
      <c r="I9" s="18" t="s">
        <v>66</v>
      </c>
    </row>
    <row r="10" ht="51.75" customHeight="1">
      <c r="A10" s="13" t="s">
        <v>486</v>
      </c>
      <c r="B10" s="15" t="s">
        <v>487</v>
      </c>
      <c r="C10" s="15" t="s">
        <v>488</v>
      </c>
      <c r="D10" s="15" t="s">
        <v>489</v>
      </c>
      <c r="E10" s="15" t="s">
        <v>490</v>
      </c>
      <c r="F10" s="15" t="s">
        <v>491</v>
      </c>
      <c r="G10" s="34" t="s">
        <v>136</v>
      </c>
      <c r="H10" s="15" t="s">
        <v>492</v>
      </c>
      <c r="I10" s="15" t="s">
        <v>138</v>
      </c>
    </row>
    <row r="11" ht="51.75" customHeight="1">
      <c r="A11" s="16" t="s">
        <v>493</v>
      </c>
      <c r="B11" s="18" t="s">
        <v>494</v>
      </c>
      <c r="C11" s="18" t="s">
        <v>495</v>
      </c>
      <c r="D11" s="18" t="s">
        <v>496</v>
      </c>
      <c r="E11" s="18" t="s">
        <v>419</v>
      </c>
      <c r="F11" s="18" t="s">
        <v>497</v>
      </c>
      <c r="G11" s="33" t="s">
        <v>80</v>
      </c>
      <c r="H11" s="18" t="s">
        <v>498</v>
      </c>
      <c r="I11" s="18" t="s">
        <v>66</v>
      </c>
    </row>
    <row r="12" ht="51.75" customHeight="1">
      <c r="A12" s="13" t="s">
        <v>499</v>
      </c>
      <c r="B12" s="15" t="s">
        <v>500</v>
      </c>
      <c r="C12" s="15" t="s">
        <v>501</v>
      </c>
      <c r="D12" s="15" t="s">
        <v>502</v>
      </c>
      <c r="E12" s="15" t="s">
        <v>503</v>
      </c>
      <c r="F12" s="15" t="s">
        <v>504</v>
      </c>
      <c r="G12" s="33" t="s">
        <v>80</v>
      </c>
      <c r="H12" s="15"/>
      <c r="I12" s="15" t="s">
        <v>66</v>
      </c>
    </row>
    <row r="13" ht="51.75" customHeight="1">
      <c r="A13" s="16" t="s">
        <v>505</v>
      </c>
      <c r="B13" s="18" t="s">
        <v>506</v>
      </c>
      <c r="C13" s="18" t="s">
        <v>507</v>
      </c>
      <c r="D13" s="18" t="s">
        <v>508</v>
      </c>
      <c r="E13" s="18" t="s">
        <v>509</v>
      </c>
      <c r="F13" s="18" t="s">
        <v>510</v>
      </c>
      <c r="G13" s="34" t="s">
        <v>136</v>
      </c>
      <c r="H13" s="18"/>
      <c r="I13" s="18" t="s">
        <v>138</v>
      </c>
    </row>
    <row r="14" ht="51.75" customHeight="1">
      <c r="A14" s="13" t="s">
        <v>511</v>
      </c>
      <c r="B14" s="15" t="s">
        <v>512</v>
      </c>
      <c r="C14" s="15" t="s">
        <v>477</v>
      </c>
      <c r="D14" s="15" t="s">
        <v>513</v>
      </c>
      <c r="E14" s="15" t="s">
        <v>514</v>
      </c>
      <c r="F14" s="15" t="s">
        <v>515</v>
      </c>
      <c r="G14" s="33" t="s">
        <v>80</v>
      </c>
      <c r="H14" s="15"/>
      <c r="I14" s="15" t="s">
        <v>66</v>
      </c>
    </row>
    <row r="15" ht="51.75" customHeight="1">
      <c r="A15" s="16" t="s">
        <v>516</v>
      </c>
      <c r="B15" s="18" t="s">
        <v>517</v>
      </c>
      <c r="C15" s="18" t="s">
        <v>518</v>
      </c>
      <c r="D15" s="18" t="s">
        <v>519</v>
      </c>
      <c r="E15" s="18" t="s">
        <v>419</v>
      </c>
      <c r="F15" s="18" t="s">
        <v>520</v>
      </c>
      <c r="G15" s="33" t="s">
        <v>80</v>
      </c>
      <c r="H15" s="18"/>
      <c r="I15" s="18" t="s">
        <v>66</v>
      </c>
    </row>
    <row r="16" ht="51.75" customHeight="1">
      <c r="A16" s="13" t="s">
        <v>521</v>
      </c>
      <c r="B16" s="15" t="s">
        <v>522</v>
      </c>
      <c r="C16" s="15" t="s">
        <v>523</v>
      </c>
      <c r="D16" s="15" t="s">
        <v>524</v>
      </c>
      <c r="E16" s="15" t="s">
        <v>525</v>
      </c>
      <c r="F16" s="15" t="s">
        <v>526</v>
      </c>
      <c r="G16" s="33" t="s">
        <v>80</v>
      </c>
      <c r="H16" s="15" t="s">
        <v>527</v>
      </c>
      <c r="I16" s="15" t="s">
        <v>66</v>
      </c>
    </row>
    <row r="17" ht="51.75" customHeight="1">
      <c r="A17" s="16" t="s">
        <v>528</v>
      </c>
      <c r="B17" s="18" t="s">
        <v>529</v>
      </c>
      <c r="C17" s="18" t="s">
        <v>530</v>
      </c>
      <c r="D17" s="18" t="s">
        <v>531</v>
      </c>
      <c r="E17" s="18" t="s">
        <v>532</v>
      </c>
      <c r="F17" s="18" t="s">
        <v>533</v>
      </c>
      <c r="G17" s="33" t="s">
        <v>80</v>
      </c>
      <c r="H17" s="18"/>
      <c r="I17" s="18" t="s">
        <v>66</v>
      </c>
    </row>
    <row r="18" ht="51.75" customHeight="1">
      <c r="A18" s="13" t="s">
        <v>534</v>
      </c>
      <c r="B18" s="15" t="s">
        <v>535</v>
      </c>
      <c r="C18" s="15" t="s">
        <v>477</v>
      </c>
      <c r="D18" s="15" t="s">
        <v>536</v>
      </c>
      <c r="E18" s="15" t="s">
        <v>514</v>
      </c>
      <c r="F18" s="15" t="s">
        <v>537</v>
      </c>
      <c r="G18" s="33" t="s">
        <v>80</v>
      </c>
      <c r="H18" s="15"/>
      <c r="I18" s="15" t="s">
        <v>66</v>
      </c>
    </row>
    <row r="19" ht="51.75" customHeight="1">
      <c r="A19" s="16" t="s">
        <v>538</v>
      </c>
      <c r="B19" s="18" t="s">
        <v>539</v>
      </c>
      <c r="C19" s="18" t="s">
        <v>470</v>
      </c>
      <c r="D19" s="18" t="s">
        <v>540</v>
      </c>
      <c r="E19" s="18" t="s">
        <v>541</v>
      </c>
      <c r="F19" s="18" t="s">
        <v>542</v>
      </c>
      <c r="G19" s="31" t="s">
        <v>64</v>
      </c>
      <c r="H19" s="18" t="s">
        <v>543</v>
      </c>
      <c r="I19" s="18" t="s">
        <v>66</v>
      </c>
    </row>
    <row r="20" ht="51.75" customHeight="1">
      <c r="A20" s="13" t="s">
        <v>544</v>
      </c>
      <c r="B20" s="15" t="s">
        <v>545</v>
      </c>
      <c r="C20" s="15" t="s">
        <v>477</v>
      </c>
      <c r="D20" s="15" t="s">
        <v>546</v>
      </c>
      <c r="E20" s="15" t="s">
        <v>547</v>
      </c>
      <c r="F20" s="15" t="s">
        <v>548</v>
      </c>
      <c r="G20" s="33" t="s">
        <v>80</v>
      </c>
      <c r="H20" s="15"/>
      <c r="I20" s="15" t="s">
        <v>66</v>
      </c>
    </row>
    <row r="21" ht="51.75" customHeight="1">
      <c r="A21" s="16" t="s">
        <v>549</v>
      </c>
      <c r="B21" s="18" t="s">
        <v>550</v>
      </c>
      <c r="C21" s="18" t="s">
        <v>477</v>
      </c>
      <c r="D21" s="18" t="s">
        <v>551</v>
      </c>
      <c r="E21" s="18" t="s">
        <v>552</v>
      </c>
      <c r="F21" s="18" t="s">
        <v>553</v>
      </c>
      <c r="G21" s="33" t="s">
        <v>80</v>
      </c>
      <c r="H21" s="18"/>
      <c r="I21" s="18" t="s">
        <v>66</v>
      </c>
    </row>
    <row r="22" ht="51.75" customHeight="1">
      <c r="A22" s="13" t="s">
        <v>554</v>
      </c>
      <c r="B22" s="15" t="s">
        <v>555</v>
      </c>
      <c r="C22" s="15" t="s">
        <v>477</v>
      </c>
      <c r="D22" s="15" t="s">
        <v>556</v>
      </c>
      <c r="E22" s="15" t="s">
        <v>557</v>
      </c>
      <c r="F22" s="15" t="s">
        <v>558</v>
      </c>
      <c r="G22" s="33" t="s">
        <v>80</v>
      </c>
      <c r="H22" s="15"/>
      <c r="I22" s="15" t="s">
        <v>66</v>
      </c>
    </row>
    <row r="23" ht="51.75" customHeight="1">
      <c r="A23" s="16" t="s">
        <v>559</v>
      </c>
      <c r="B23" s="18" t="s">
        <v>560</v>
      </c>
      <c r="C23" s="18" t="s">
        <v>561</v>
      </c>
      <c r="D23" s="18" t="s">
        <v>562</v>
      </c>
      <c r="E23" s="18" t="s">
        <v>563</v>
      </c>
      <c r="F23" s="18" t="s">
        <v>564</v>
      </c>
      <c r="G23" s="31" t="s">
        <v>64</v>
      </c>
      <c r="H23" s="18" t="s">
        <v>565</v>
      </c>
      <c r="I23" s="18" t="s">
        <v>66</v>
      </c>
    </row>
    <row r="24" ht="51.75" customHeight="1">
      <c r="A24" s="13" t="s">
        <v>566</v>
      </c>
      <c r="B24" s="15" t="s">
        <v>567</v>
      </c>
      <c r="C24" s="15" t="s">
        <v>568</v>
      </c>
      <c r="D24" s="15" t="s">
        <v>569</v>
      </c>
      <c r="E24" s="15" t="s">
        <v>570</v>
      </c>
      <c r="F24" s="15" t="s">
        <v>571</v>
      </c>
      <c r="G24" s="34" t="s">
        <v>136</v>
      </c>
      <c r="H24" s="15" t="s">
        <v>572</v>
      </c>
      <c r="I24" s="15" t="s">
        <v>138</v>
      </c>
    </row>
    <row r="25" ht="51.75" customHeight="1">
      <c r="A25" s="16" t="s">
        <v>573</v>
      </c>
      <c r="B25" s="18" t="s">
        <v>574</v>
      </c>
      <c r="C25" s="18" t="s">
        <v>477</v>
      </c>
      <c r="D25" s="18" t="s">
        <v>575</v>
      </c>
      <c r="E25" s="18" t="s">
        <v>576</v>
      </c>
      <c r="F25" s="18" t="s">
        <v>577</v>
      </c>
      <c r="G25" s="34" t="s">
        <v>136</v>
      </c>
      <c r="H25" s="18"/>
      <c r="I25" s="18" t="s">
        <v>138</v>
      </c>
    </row>
    <row r="26" ht="51.75" customHeight="1">
      <c r="A26" s="13" t="s">
        <v>578</v>
      </c>
      <c r="B26" s="15" t="s">
        <v>579</v>
      </c>
      <c r="C26" s="15" t="s">
        <v>580</v>
      </c>
      <c r="D26" s="15" t="s">
        <v>581</v>
      </c>
      <c r="E26" s="15" t="s">
        <v>582</v>
      </c>
      <c r="F26" s="15" t="s">
        <v>583</v>
      </c>
      <c r="G26" s="31" t="s">
        <v>64</v>
      </c>
      <c r="H26" s="15" t="s">
        <v>584</v>
      </c>
      <c r="I26" s="15" t="s">
        <v>66</v>
      </c>
    </row>
    <row r="27" ht="51.75" customHeight="1">
      <c r="A27" s="16" t="s">
        <v>585</v>
      </c>
      <c r="B27" s="18" t="s">
        <v>586</v>
      </c>
      <c r="C27" s="18" t="s">
        <v>587</v>
      </c>
      <c r="D27" s="18" t="s">
        <v>588</v>
      </c>
      <c r="E27" s="18" t="s">
        <v>589</v>
      </c>
      <c r="F27" s="18" t="s">
        <v>590</v>
      </c>
      <c r="G27" s="33" t="s">
        <v>80</v>
      </c>
      <c r="H27" s="18"/>
      <c r="I27" s="18" t="s">
        <v>66</v>
      </c>
    </row>
    <row r="28" ht="51.75" customHeight="1">
      <c r="A28" s="13" t="s">
        <v>591</v>
      </c>
      <c r="B28" s="15" t="s">
        <v>592</v>
      </c>
      <c r="C28" s="15" t="s">
        <v>593</v>
      </c>
      <c r="D28" s="15" t="s">
        <v>594</v>
      </c>
      <c r="E28" s="15" t="s">
        <v>595</v>
      </c>
      <c r="F28" s="15" t="s">
        <v>596</v>
      </c>
      <c r="G28" s="33" t="s">
        <v>80</v>
      </c>
      <c r="H28" s="15"/>
      <c r="I28" s="15" t="s">
        <v>66</v>
      </c>
    </row>
    <row r="29" ht="51.75" customHeight="1">
      <c r="A29" s="16" t="s">
        <v>597</v>
      </c>
      <c r="B29" s="18" t="s">
        <v>598</v>
      </c>
      <c r="C29" s="18" t="s">
        <v>477</v>
      </c>
      <c r="D29" s="18" t="s">
        <v>599</v>
      </c>
      <c r="E29" s="18" t="s">
        <v>600</v>
      </c>
      <c r="F29" s="18" t="s">
        <v>601</v>
      </c>
      <c r="G29" s="33" t="s">
        <v>80</v>
      </c>
      <c r="H29" s="18"/>
      <c r="I29" s="18" t="s">
        <v>66</v>
      </c>
    </row>
    <row r="30" ht="51.75" customHeight="1">
      <c r="A30" s="13" t="s">
        <v>602</v>
      </c>
      <c r="B30" s="15" t="s">
        <v>603</v>
      </c>
      <c r="C30" s="15" t="s">
        <v>477</v>
      </c>
      <c r="D30" s="15" t="s">
        <v>604</v>
      </c>
      <c r="E30" s="15" t="s">
        <v>605</v>
      </c>
      <c r="F30" s="15" t="s">
        <v>606</v>
      </c>
      <c r="G30" s="33" t="s">
        <v>80</v>
      </c>
      <c r="H30" s="15"/>
      <c r="I30" s="15" t="s">
        <v>66</v>
      </c>
    </row>
    <row r="31" ht="51.75" customHeight="1">
      <c r="A31" s="16" t="s">
        <v>607</v>
      </c>
      <c r="B31" s="18" t="s">
        <v>608</v>
      </c>
      <c r="C31" s="18" t="s">
        <v>609</v>
      </c>
      <c r="D31" s="18" t="s">
        <v>610</v>
      </c>
      <c r="E31" s="18" t="s">
        <v>611</v>
      </c>
      <c r="F31" s="18" t="s">
        <v>612</v>
      </c>
      <c r="G31" s="33" t="s">
        <v>80</v>
      </c>
      <c r="H31" s="18"/>
      <c r="I31" s="18" t="s">
        <v>138</v>
      </c>
    </row>
    <row r="32" ht="51.75" customHeight="1">
      <c r="A32" s="13" t="s">
        <v>613</v>
      </c>
      <c r="B32" s="15" t="s">
        <v>614</v>
      </c>
      <c r="C32" s="15" t="s">
        <v>615</v>
      </c>
      <c r="D32" s="15" t="s">
        <v>616</v>
      </c>
      <c r="E32" s="15" t="s">
        <v>617</v>
      </c>
      <c r="F32" s="15" t="s">
        <v>618</v>
      </c>
      <c r="G32" s="34" t="s">
        <v>136</v>
      </c>
      <c r="H32" s="15"/>
      <c r="I32" s="15" t="s">
        <v>138</v>
      </c>
    </row>
    <row r="33" ht="51.75" customHeight="1">
      <c r="A33" s="16" t="s">
        <v>619</v>
      </c>
      <c r="B33" s="18" t="s">
        <v>620</v>
      </c>
      <c r="C33" s="18" t="s">
        <v>477</v>
      </c>
      <c r="D33" s="18" t="s">
        <v>621</v>
      </c>
      <c r="E33" s="18" t="s">
        <v>576</v>
      </c>
      <c r="F33" s="18" t="s">
        <v>622</v>
      </c>
      <c r="G33" s="34" t="s">
        <v>136</v>
      </c>
      <c r="H33" s="18"/>
      <c r="I33" s="18" t="s">
        <v>138</v>
      </c>
    </row>
    <row r="34" ht="51.75" customHeight="1">
      <c r="A34" s="13" t="s">
        <v>623</v>
      </c>
      <c r="B34" s="15" t="s">
        <v>624</v>
      </c>
      <c r="C34" s="15" t="s">
        <v>470</v>
      </c>
      <c r="D34" s="15" t="s">
        <v>625</v>
      </c>
      <c r="E34" s="15" t="s">
        <v>626</v>
      </c>
      <c r="F34" s="15" t="s">
        <v>627</v>
      </c>
      <c r="G34" s="33" t="s">
        <v>80</v>
      </c>
      <c r="H34" s="15"/>
      <c r="I34" s="15" t="s">
        <v>66</v>
      </c>
    </row>
    <row r="35" ht="51.75" customHeight="1">
      <c r="A35" s="16" t="s">
        <v>628</v>
      </c>
      <c r="B35" s="18" t="s">
        <v>629</v>
      </c>
      <c r="C35" s="18" t="s">
        <v>470</v>
      </c>
      <c r="D35" s="18" t="s">
        <v>630</v>
      </c>
      <c r="E35" s="18" t="s">
        <v>631</v>
      </c>
      <c r="F35" s="18" t="s">
        <v>632</v>
      </c>
      <c r="G35" s="33" t="s">
        <v>80</v>
      </c>
      <c r="H35" s="18"/>
      <c r="I35" s="18" t="s">
        <v>66</v>
      </c>
    </row>
    <row r="36" ht="51.75" customHeight="1">
      <c r="A36" s="13" t="s">
        <v>633</v>
      </c>
      <c r="B36" s="15" t="s">
        <v>634</v>
      </c>
      <c r="C36" s="15" t="s">
        <v>477</v>
      </c>
      <c r="D36" s="15" t="s">
        <v>635</v>
      </c>
      <c r="E36" s="15" t="s">
        <v>246</v>
      </c>
      <c r="F36" s="15" t="s">
        <v>636</v>
      </c>
      <c r="G36" s="33" t="s">
        <v>80</v>
      </c>
      <c r="H36" s="15" t="s">
        <v>248</v>
      </c>
      <c r="I36" s="15" t="s">
        <v>138</v>
      </c>
    </row>
    <row r="37" ht="51.75" customHeight="1">
      <c r="A37" s="16" t="s">
        <v>637</v>
      </c>
      <c r="B37" s="18" t="s">
        <v>638</v>
      </c>
      <c r="C37" s="18" t="s">
        <v>477</v>
      </c>
      <c r="D37" s="18" t="s">
        <v>639</v>
      </c>
      <c r="E37" s="18" t="s">
        <v>191</v>
      </c>
      <c r="F37" s="18" t="s">
        <v>640</v>
      </c>
      <c r="G37" s="33" t="s">
        <v>80</v>
      </c>
      <c r="H37" s="18"/>
      <c r="I37" s="18" t="s">
        <v>66</v>
      </c>
    </row>
    <row r="38" ht="51.75" customHeight="1">
      <c r="A38" s="13" t="s">
        <v>641</v>
      </c>
      <c r="B38" s="15" t="s">
        <v>642</v>
      </c>
      <c r="C38" s="15" t="s">
        <v>477</v>
      </c>
      <c r="D38" s="15" t="s">
        <v>643</v>
      </c>
      <c r="E38" s="15" t="s">
        <v>644</v>
      </c>
      <c r="F38" s="15" t="s">
        <v>645</v>
      </c>
      <c r="G38" s="33" t="s">
        <v>80</v>
      </c>
      <c r="H38" s="15"/>
      <c r="I38" s="15" t="s">
        <v>66</v>
      </c>
    </row>
    <row r="39" ht="51.75" customHeight="1">
      <c r="A39" s="16" t="s">
        <v>646</v>
      </c>
      <c r="B39" s="18" t="s">
        <v>647</v>
      </c>
      <c r="C39" s="18" t="s">
        <v>477</v>
      </c>
      <c r="D39" s="18" t="s">
        <v>648</v>
      </c>
      <c r="E39" s="18" t="s">
        <v>649</v>
      </c>
      <c r="F39" s="18" t="s">
        <v>650</v>
      </c>
      <c r="G39" s="33" t="s">
        <v>80</v>
      </c>
      <c r="H39" s="18"/>
      <c r="I39" s="18" t="s">
        <v>66</v>
      </c>
    </row>
    <row r="40" ht="51.75" customHeight="1">
      <c r="A40" s="13" t="s">
        <v>651</v>
      </c>
      <c r="B40" s="15" t="s">
        <v>652</v>
      </c>
      <c r="C40" s="15" t="s">
        <v>477</v>
      </c>
      <c r="D40" s="15" t="s">
        <v>653</v>
      </c>
      <c r="E40" s="15" t="s">
        <v>246</v>
      </c>
      <c r="F40" s="15" t="s">
        <v>654</v>
      </c>
      <c r="G40" s="33" t="s">
        <v>80</v>
      </c>
      <c r="H40" s="15" t="s">
        <v>655</v>
      </c>
      <c r="I40" s="15" t="s">
        <v>138</v>
      </c>
    </row>
    <row r="41" ht="51.75" customHeight="1">
      <c r="A41" s="16" t="s">
        <v>656</v>
      </c>
      <c r="B41" s="18" t="s">
        <v>657</v>
      </c>
      <c r="C41" s="18" t="s">
        <v>477</v>
      </c>
      <c r="D41" s="18" t="s">
        <v>658</v>
      </c>
      <c r="E41" s="18" t="s">
        <v>659</v>
      </c>
      <c r="F41" s="18" t="s">
        <v>660</v>
      </c>
      <c r="G41" s="34" t="s">
        <v>136</v>
      </c>
      <c r="H41" s="18"/>
      <c r="I41" s="18" t="s">
        <v>138</v>
      </c>
    </row>
    <row r="42" ht="51.75" customHeight="1">
      <c r="A42" s="13" t="s">
        <v>661</v>
      </c>
      <c r="B42" s="15" t="s">
        <v>662</v>
      </c>
      <c r="C42" s="15" t="s">
        <v>477</v>
      </c>
      <c r="D42" s="15" t="s">
        <v>663</v>
      </c>
      <c r="E42" s="15" t="s">
        <v>664</v>
      </c>
      <c r="F42" s="15" t="s">
        <v>665</v>
      </c>
      <c r="G42" s="33" t="s">
        <v>80</v>
      </c>
      <c r="H42" s="15"/>
      <c r="I42" s="15" t="s">
        <v>66</v>
      </c>
    </row>
    <row r="43" ht="51.75" customHeight="1">
      <c r="A43" s="16" t="s">
        <v>666</v>
      </c>
      <c r="B43" s="18" t="s">
        <v>667</v>
      </c>
      <c r="C43" s="18" t="s">
        <v>668</v>
      </c>
      <c r="D43" s="18" t="s">
        <v>669</v>
      </c>
      <c r="E43" s="18" t="s">
        <v>670</v>
      </c>
      <c r="F43" s="18" t="s">
        <v>671</v>
      </c>
      <c r="G43" s="31" t="s">
        <v>64</v>
      </c>
      <c r="H43" s="18" t="s">
        <v>672</v>
      </c>
      <c r="I43" s="18" t="s">
        <v>66</v>
      </c>
    </row>
    <row r="44" ht="51.75" customHeight="1">
      <c r="A44" s="13" t="s">
        <v>673</v>
      </c>
      <c r="B44" s="15" t="s">
        <v>674</v>
      </c>
      <c r="C44" s="15" t="s">
        <v>675</v>
      </c>
      <c r="D44" s="15" t="s">
        <v>676</v>
      </c>
      <c r="E44" s="15" t="s">
        <v>677</v>
      </c>
      <c r="F44" s="15" t="s">
        <v>678</v>
      </c>
      <c r="G44" s="33" t="s">
        <v>80</v>
      </c>
      <c r="H44" s="15" t="s">
        <v>679</v>
      </c>
      <c r="I44" s="15" t="s">
        <v>138</v>
      </c>
    </row>
    <row r="45" ht="51.75" customHeight="1">
      <c r="A45" s="16" t="s">
        <v>680</v>
      </c>
      <c r="B45" s="18" t="s">
        <v>681</v>
      </c>
      <c r="C45" s="18" t="s">
        <v>682</v>
      </c>
      <c r="D45" s="18" t="s">
        <v>683</v>
      </c>
      <c r="E45" s="18" t="s">
        <v>684</v>
      </c>
      <c r="F45" s="18" t="s">
        <v>685</v>
      </c>
      <c r="G45" s="33" t="s">
        <v>80</v>
      </c>
      <c r="H45" s="18" t="s">
        <v>686</v>
      </c>
      <c r="I45" s="18" t="s">
        <v>138</v>
      </c>
    </row>
    <row r="46" ht="51.75" customHeight="1">
      <c r="A46" s="13" t="s">
        <v>687</v>
      </c>
      <c r="B46" s="15" t="s">
        <v>688</v>
      </c>
      <c r="C46" s="15" t="s">
        <v>689</v>
      </c>
      <c r="D46" s="15" t="s">
        <v>690</v>
      </c>
      <c r="E46" s="15" t="s">
        <v>691</v>
      </c>
      <c r="F46" s="15" t="s">
        <v>692</v>
      </c>
      <c r="G46" s="33" t="s">
        <v>80</v>
      </c>
      <c r="H46" s="15" t="s">
        <v>693</v>
      </c>
      <c r="I46" s="15" t="s">
        <v>66</v>
      </c>
    </row>
    <row r="47" ht="51.75" customHeight="1">
      <c r="A47" s="16" t="s">
        <v>694</v>
      </c>
      <c r="B47" s="18" t="s">
        <v>695</v>
      </c>
      <c r="C47" s="18" t="s">
        <v>696</v>
      </c>
      <c r="D47" s="18" t="s">
        <v>697</v>
      </c>
      <c r="E47" s="18" t="s">
        <v>698</v>
      </c>
      <c r="F47" s="18" t="s">
        <v>699</v>
      </c>
      <c r="G47" s="31" t="s">
        <v>64</v>
      </c>
      <c r="H47" s="18" t="s">
        <v>700</v>
      </c>
      <c r="I47" s="18" t="s">
        <v>66</v>
      </c>
    </row>
    <row r="48" ht="51.75" customHeight="1">
      <c r="A48" s="13" t="s">
        <v>701</v>
      </c>
      <c r="B48" s="15" t="s">
        <v>702</v>
      </c>
      <c r="C48" s="15" t="s">
        <v>703</v>
      </c>
      <c r="D48" s="15" t="s">
        <v>704</v>
      </c>
      <c r="E48" s="15" t="s">
        <v>413</v>
      </c>
      <c r="F48" s="15" t="s">
        <v>705</v>
      </c>
      <c r="G48" s="33" t="s">
        <v>80</v>
      </c>
      <c r="H48" s="15" t="s">
        <v>706</v>
      </c>
      <c r="I48" s="15" t="s">
        <v>138</v>
      </c>
    </row>
    <row r="49" ht="51.75" customHeight="1">
      <c r="A49" s="16" t="s">
        <v>707</v>
      </c>
      <c r="B49" s="18" t="s">
        <v>708</v>
      </c>
      <c r="C49" s="18" t="s">
        <v>709</v>
      </c>
      <c r="D49" s="18" t="s">
        <v>710</v>
      </c>
      <c r="E49" s="18" t="s">
        <v>711</v>
      </c>
      <c r="F49" s="18" t="s">
        <v>712</v>
      </c>
      <c r="G49" s="33" t="s">
        <v>80</v>
      </c>
      <c r="H49" s="18"/>
      <c r="I49" s="18" t="s">
        <v>138</v>
      </c>
    </row>
    <row r="50" ht="51.75" customHeight="1">
      <c r="A50" s="13" t="s">
        <v>713</v>
      </c>
      <c r="B50" s="15" t="s">
        <v>714</v>
      </c>
      <c r="C50" s="15" t="s">
        <v>715</v>
      </c>
      <c r="D50" s="15" t="s">
        <v>716</v>
      </c>
      <c r="E50" s="15" t="s">
        <v>717</v>
      </c>
      <c r="F50" s="15" t="s">
        <v>718</v>
      </c>
      <c r="G50" s="34" t="s">
        <v>136</v>
      </c>
      <c r="H50" s="15"/>
      <c r="I50" s="15" t="s">
        <v>138</v>
      </c>
    </row>
    <row r="51" ht="51.75" customHeight="1">
      <c r="A51" s="16" t="s">
        <v>719</v>
      </c>
      <c r="B51" s="18" t="s">
        <v>720</v>
      </c>
      <c r="C51" s="18" t="s">
        <v>721</v>
      </c>
      <c r="D51" s="18" t="s">
        <v>722</v>
      </c>
      <c r="E51" s="18" t="s">
        <v>723</v>
      </c>
      <c r="F51" s="18" t="s">
        <v>724</v>
      </c>
      <c r="G51" s="33" t="s">
        <v>80</v>
      </c>
      <c r="H51" s="18" t="s">
        <v>725</v>
      </c>
      <c r="I51" s="18" t="s">
        <v>138</v>
      </c>
    </row>
    <row r="52" ht="51.75" customHeight="1">
      <c r="A52" s="13" t="s">
        <v>726</v>
      </c>
      <c r="B52" s="15" t="s">
        <v>727</v>
      </c>
      <c r="C52" s="15" t="s">
        <v>728</v>
      </c>
      <c r="D52" s="15" t="s">
        <v>729</v>
      </c>
      <c r="E52" s="15" t="s">
        <v>730</v>
      </c>
      <c r="F52" s="15" t="s">
        <v>731</v>
      </c>
      <c r="G52" s="33" t="s">
        <v>80</v>
      </c>
      <c r="H52" s="15" t="s">
        <v>732</v>
      </c>
      <c r="I52" s="15" t="s">
        <v>66</v>
      </c>
    </row>
    <row r="53" ht="51.75" customHeight="1">
      <c r="A53" s="16" t="s">
        <v>733</v>
      </c>
      <c r="B53" s="18" t="s">
        <v>734</v>
      </c>
      <c r="C53" s="18" t="s">
        <v>477</v>
      </c>
      <c r="D53" s="18" t="s">
        <v>735</v>
      </c>
      <c r="E53" s="18" t="s">
        <v>736</v>
      </c>
      <c r="F53" s="18" t="s">
        <v>737</v>
      </c>
      <c r="G53" s="34" t="s">
        <v>136</v>
      </c>
      <c r="H53" s="18"/>
      <c r="I53" s="18" t="s">
        <v>138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I$53"/>
  <mergeCells count="1">
    <mergeCell ref="A1:I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8.86"/>
    <col customWidth="1" min="3" max="3" width="33.57"/>
    <col customWidth="1" min="4" max="4" width="54.0"/>
    <col customWidth="1" min="5" max="5" width="41.71"/>
    <col customWidth="1" min="6" max="6" width="48.57"/>
    <col customWidth="1" min="7" max="7" width="23.86"/>
    <col customWidth="1" min="8" max="8" width="26.57"/>
    <col customWidth="1" min="9" max="9" width="28.0"/>
    <col customWidth="1" min="10" max="26" width="8.71"/>
  </cols>
  <sheetData>
    <row r="1" ht="25.5" customHeight="1">
      <c r="A1" s="35" t="s">
        <v>738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12" t="s">
        <v>49</v>
      </c>
      <c r="B2" s="12" t="s">
        <v>50</v>
      </c>
      <c r="C2" s="12" t="s">
        <v>51</v>
      </c>
      <c r="D2" s="12" t="s">
        <v>52</v>
      </c>
      <c r="E2" s="12" t="s">
        <v>53</v>
      </c>
      <c r="F2" s="12" t="s">
        <v>54</v>
      </c>
      <c r="G2" s="12" t="s">
        <v>55</v>
      </c>
      <c r="H2" s="12" t="s">
        <v>56</v>
      </c>
      <c r="I2" s="12" t="s">
        <v>57</v>
      </c>
    </row>
    <row r="3" ht="3.75" customHeight="1">
      <c r="A3" s="30"/>
      <c r="B3" s="30"/>
      <c r="C3" s="30"/>
      <c r="D3" s="30"/>
      <c r="E3" s="30"/>
      <c r="F3" s="30"/>
      <c r="G3" s="30"/>
      <c r="H3" s="30"/>
      <c r="I3" s="30"/>
    </row>
    <row r="4" ht="51.75" customHeight="1">
      <c r="A4" s="13" t="s">
        <v>739</v>
      </c>
      <c r="B4" s="15" t="s">
        <v>740</v>
      </c>
      <c r="C4" s="15" t="s">
        <v>741</v>
      </c>
      <c r="D4" s="15" t="s">
        <v>742</v>
      </c>
      <c r="E4" s="15" t="s">
        <v>743</v>
      </c>
      <c r="F4" s="15" t="s">
        <v>744</v>
      </c>
      <c r="G4" s="31" t="s">
        <v>64</v>
      </c>
      <c r="H4" s="15" t="s">
        <v>745</v>
      </c>
      <c r="I4" s="15" t="s">
        <v>66</v>
      </c>
    </row>
    <row r="5" ht="51.75" customHeight="1">
      <c r="A5" s="16" t="s">
        <v>746</v>
      </c>
      <c r="B5" s="18" t="s">
        <v>747</v>
      </c>
      <c r="C5" s="18" t="s">
        <v>84</v>
      </c>
      <c r="D5" s="18" t="s">
        <v>748</v>
      </c>
      <c r="E5" s="18" t="s">
        <v>749</v>
      </c>
      <c r="F5" s="18" t="s">
        <v>750</v>
      </c>
      <c r="G5" s="33" t="s">
        <v>80</v>
      </c>
      <c r="H5" s="18" t="s">
        <v>751</v>
      </c>
      <c r="I5" s="18" t="s">
        <v>66</v>
      </c>
    </row>
    <row r="6" ht="51.75" customHeight="1">
      <c r="A6" s="13" t="s">
        <v>752</v>
      </c>
      <c r="B6" s="15" t="s">
        <v>753</v>
      </c>
      <c r="C6" s="15" t="s">
        <v>754</v>
      </c>
      <c r="D6" s="15" t="s">
        <v>755</v>
      </c>
      <c r="E6" s="15" t="s">
        <v>756</v>
      </c>
      <c r="F6" s="15" t="s">
        <v>757</v>
      </c>
      <c r="G6" s="31" t="s">
        <v>64</v>
      </c>
      <c r="H6" s="15" t="s">
        <v>758</v>
      </c>
      <c r="I6" s="15" t="s">
        <v>66</v>
      </c>
    </row>
    <row r="7" ht="51.75" customHeight="1">
      <c r="A7" s="16" t="s">
        <v>759</v>
      </c>
      <c r="B7" s="18" t="s">
        <v>760</v>
      </c>
      <c r="C7" s="18" t="s">
        <v>761</v>
      </c>
      <c r="D7" s="18" t="s">
        <v>762</v>
      </c>
      <c r="E7" s="18" t="s">
        <v>763</v>
      </c>
      <c r="F7" s="18" t="s">
        <v>764</v>
      </c>
      <c r="G7" s="33" t="s">
        <v>80</v>
      </c>
      <c r="H7" s="18" t="s">
        <v>765</v>
      </c>
      <c r="I7" s="18" t="s">
        <v>66</v>
      </c>
    </row>
    <row r="8" ht="51.75" customHeight="1">
      <c r="A8" s="13" t="s">
        <v>766</v>
      </c>
      <c r="B8" s="15" t="s">
        <v>767</v>
      </c>
      <c r="C8" s="15" t="s">
        <v>768</v>
      </c>
      <c r="D8" s="15" t="s">
        <v>769</v>
      </c>
      <c r="E8" s="15" t="s">
        <v>770</v>
      </c>
      <c r="F8" s="15" t="s">
        <v>771</v>
      </c>
      <c r="G8" s="31" t="s">
        <v>64</v>
      </c>
      <c r="H8" s="15" t="s">
        <v>772</v>
      </c>
      <c r="I8" s="15" t="s">
        <v>66</v>
      </c>
    </row>
    <row r="9" ht="51.75" customHeight="1">
      <c r="A9" s="16" t="s">
        <v>773</v>
      </c>
      <c r="B9" s="18" t="s">
        <v>774</v>
      </c>
      <c r="C9" s="18" t="s">
        <v>84</v>
      </c>
      <c r="D9" s="18" t="s">
        <v>775</v>
      </c>
      <c r="E9" s="18" t="s">
        <v>776</v>
      </c>
      <c r="F9" s="18" t="s">
        <v>777</v>
      </c>
      <c r="G9" s="33" t="s">
        <v>80</v>
      </c>
      <c r="H9" s="18" t="s">
        <v>778</v>
      </c>
      <c r="I9" s="18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I$9"/>
  <mergeCells count="1">
    <mergeCell ref="A1:I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8.0"/>
    <col customWidth="1" min="2" max="4" width="14.0"/>
    <col customWidth="1" min="5" max="5" width="12.0"/>
    <col customWidth="1" min="6" max="6" width="10.0"/>
    <col customWidth="1" min="7" max="7" width="40.0"/>
    <col customWidth="1" min="8" max="26" width="8.71"/>
  </cols>
  <sheetData>
    <row r="1" ht="30.0" customHeight="1">
      <c r="A1" s="36" t="s">
        <v>779</v>
      </c>
      <c r="B1" s="2"/>
      <c r="C1" s="2"/>
      <c r="D1" s="2"/>
      <c r="E1" s="2"/>
      <c r="F1" s="2"/>
      <c r="G1" s="3"/>
    </row>
    <row r="2" ht="18.0" customHeight="1">
      <c r="A2" s="37" t="s">
        <v>780</v>
      </c>
      <c r="B2" s="2"/>
      <c r="C2" s="2"/>
      <c r="D2" s="2"/>
      <c r="E2" s="2"/>
      <c r="F2" s="2"/>
      <c r="G2" s="3"/>
    </row>
    <row r="3" ht="30.0" customHeight="1">
      <c r="A3" s="12" t="s">
        <v>781</v>
      </c>
      <c r="B3" s="12" t="s">
        <v>782</v>
      </c>
      <c r="C3" s="12" t="s">
        <v>783</v>
      </c>
      <c r="D3" s="12" t="s">
        <v>784</v>
      </c>
      <c r="E3" s="12" t="s">
        <v>785</v>
      </c>
      <c r="F3" s="12" t="s">
        <v>786</v>
      </c>
      <c r="G3" s="12" t="s">
        <v>56</v>
      </c>
    </row>
    <row r="4" ht="19.5" customHeight="1">
      <c r="A4" s="13" t="s">
        <v>787</v>
      </c>
      <c r="B4" s="15" t="s">
        <v>788</v>
      </c>
      <c r="C4" s="15" t="s">
        <v>789</v>
      </c>
      <c r="D4" s="15" t="s">
        <v>790</v>
      </c>
      <c r="E4" s="15" t="s">
        <v>790</v>
      </c>
      <c r="F4" s="15">
        <f t="shared" ref="F4:F19" si="1">B4+C4+D4+E4</f>
        <v>7</v>
      </c>
      <c r="G4" s="15" t="s">
        <v>791</v>
      </c>
    </row>
    <row r="5" ht="19.5" customHeight="1">
      <c r="A5" s="16" t="s">
        <v>792</v>
      </c>
      <c r="B5" s="18" t="s">
        <v>793</v>
      </c>
      <c r="C5" s="18" t="s">
        <v>789</v>
      </c>
      <c r="D5" s="18" t="s">
        <v>788</v>
      </c>
      <c r="E5" s="18" t="s">
        <v>788</v>
      </c>
      <c r="F5" s="18">
        <f t="shared" si="1"/>
        <v>12</v>
      </c>
      <c r="G5" s="18" t="s">
        <v>794</v>
      </c>
    </row>
    <row r="6" ht="19.5" customHeight="1">
      <c r="A6" s="13" t="s">
        <v>795</v>
      </c>
      <c r="B6" s="15" t="s">
        <v>788</v>
      </c>
      <c r="C6" s="15" t="s">
        <v>788</v>
      </c>
      <c r="D6" s="15" t="s">
        <v>796</v>
      </c>
      <c r="E6" s="15" t="s">
        <v>796</v>
      </c>
      <c r="F6" s="15">
        <f t="shared" si="1"/>
        <v>6</v>
      </c>
      <c r="G6" s="15" t="s">
        <v>797</v>
      </c>
    </row>
    <row r="7" ht="19.5" customHeight="1">
      <c r="A7" s="16" t="s">
        <v>798</v>
      </c>
      <c r="B7" s="18" t="s">
        <v>788</v>
      </c>
      <c r="C7" s="18" t="s">
        <v>789</v>
      </c>
      <c r="D7" s="18" t="s">
        <v>796</v>
      </c>
      <c r="E7" s="18" t="s">
        <v>796</v>
      </c>
      <c r="F7" s="18">
        <f t="shared" si="1"/>
        <v>5</v>
      </c>
      <c r="G7" s="18" t="s">
        <v>799</v>
      </c>
    </row>
    <row r="8" ht="19.5" customHeight="1">
      <c r="A8" s="13" t="s">
        <v>800</v>
      </c>
      <c r="B8" s="15" t="s">
        <v>796</v>
      </c>
      <c r="C8" s="15" t="s">
        <v>801</v>
      </c>
      <c r="D8" s="15" t="s">
        <v>796</v>
      </c>
      <c r="E8" s="15" t="s">
        <v>796</v>
      </c>
      <c r="F8" s="15">
        <f t="shared" si="1"/>
        <v>8</v>
      </c>
      <c r="G8" s="15" t="s">
        <v>802</v>
      </c>
    </row>
    <row r="9" ht="19.5" customHeight="1">
      <c r="A9" s="16" t="s">
        <v>803</v>
      </c>
      <c r="B9" s="18" t="s">
        <v>796</v>
      </c>
      <c r="C9" s="18" t="s">
        <v>796</v>
      </c>
      <c r="D9" s="18" t="s">
        <v>804</v>
      </c>
      <c r="E9" s="18" t="s">
        <v>796</v>
      </c>
      <c r="F9" s="18">
        <f t="shared" si="1"/>
        <v>15</v>
      </c>
      <c r="G9" s="18" t="s">
        <v>805</v>
      </c>
    </row>
    <row r="10" ht="19.5" customHeight="1">
      <c r="A10" s="13" t="s">
        <v>806</v>
      </c>
      <c r="B10" s="15" t="s">
        <v>789</v>
      </c>
      <c r="C10" s="15" t="s">
        <v>789</v>
      </c>
      <c r="D10" s="15" t="s">
        <v>801</v>
      </c>
      <c r="E10" s="15" t="s">
        <v>796</v>
      </c>
      <c r="F10" s="15">
        <f t="shared" si="1"/>
        <v>12</v>
      </c>
      <c r="G10" s="15" t="s">
        <v>807</v>
      </c>
    </row>
    <row r="11" ht="19.5" customHeight="1">
      <c r="A11" s="16" t="s">
        <v>808</v>
      </c>
      <c r="B11" s="18" t="s">
        <v>809</v>
      </c>
      <c r="C11" s="18" t="s">
        <v>793</v>
      </c>
      <c r="D11" s="18" t="s">
        <v>788</v>
      </c>
      <c r="E11" s="18" t="s">
        <v>790</v>
      </c>
      <c r="F11" s="18">
        <f t="shared" si="1"/>
        <v>15</v>
      </c>
      <c r="G11" s="18" t="s">
        <v>810</v>
      </c>
    </row>
    <row r="12" ht="19.5" customHeight="1">
      <c r="A12" s="13" t="s">
        <v>811</v>
      </c>
      <c r="B12" s="15" t="s">
        <v>812</v>
      </c>
      <c r="C12" s="15" t="s">
        <v>793</v>
      </c>
      <c r="D12" s="15" t="s">
        <v>788</v>
      </c>
      <c r="E12" s="15" t="s">
        <v>796</v>
      </c>
      <c r="F12" s="15">
        <f t="shared" si="1"/>
        <v>12</v>
      </c>
      <c r="G12" s="15" t="s">
        <v>813</v>
      </c>
    </row>
    <row r="13" ht="19.5" customHeight="1">
      <c r="A13" s="16" t="s">
        <v>814</v>
      </c>
      <c r="B13" s="18" t="s">
        <v>789</v>
      </c>
      <c r="C13" s="18" t="s">
        <v>790</v>
      </c>
      <c r="D13" s="18" t="s">
        <v>788</v>
      </c>
      <c r="E13" s="18" t="s">
        <v>796</v>
      </c>
      <c r="F13" s="18">
        <f t="shared" si="1"/>
        <v>6</v>
      </c>
      <c r="G13" s="18" t="s">
        <v>815</v>
      </c>
    </row>
    <row r="14" ht="19.5" customHeight="1">
      <c r="A14" s="13" t="s">
        <v>816</v>
      </c>
      <c r="B14" s="15" t="s">
        <v>788</v>
      </c>
      <c r="C14" s="15" t="s">
        <v>788</v>
      </c>
      <c r="D14" s="15" t="s">
        <v>793</v>
      </c>
      <c r="E14" s="15" t="s">
        <v>796</v>
      </c>
      <c r="F14" s="15">
        <f t="shared" si="1"/>
        <v>10</v>
      </c>
      <c r="G14" s="15" t="s">
        <v>817</v>
      </c>
    </row>
    <row r="15" ht="19.5" customHeight="1">
      <c r="A15" s="16" t="s">
        <v>818</v>
      </c>
      <c r="B15" s="18" t="s">
        <v>790</v>
      </c>
      <c r="C15" s="18" t="s">
        <v>796</v>
      </c>
      <c r="D15" s="18" t="s">
        <v>796</v>
      </c>
      <c r="E15" s="18" t="s">
        <v>796</v>
      </c>
      <c r="F15" s="18">
        <f t="shared" si="1"/>
        <v>1</v>
      </c>
      <c r="G15" s="18" t="s">
        <v>819</v>
      </c>
    </row>
    <row r="16" ht="19.5" customHeight="1">
      <c r="A16" s="13" t="s">
        <v>820</v>
      </c>
      <c r="B16" s="15" t="s">
        <v>788</v>
      </c>
      <c r="C16" s="15" t="s">
        <v>796</v>
      </c>
      <c r="D16" s="15" t="s">
        <v>790</v>
      </c>
      <c r="E16" s="15" t="s">
        <v>796</v>
      </c>
      <c r="F16" s="15">
        <f t="shared" si="1"/>
        <v>4</v>
      </c>
      <c r="G16" s="15" t="s">
        <v>821</v>
      </c>
    </row>
    <row r="17" ht="19.5" customHeight="1">
      <c r="A17" s="16" t="s">
        <v>822</v>
      </c>
      <c r="B17" s="18" t="s">
        <v>790</v>
      </c>
      <c r="C17" s="18" t="s">
        <v>796</v>
      </c>
      <c r="D17" s="18" t="s">
        <v>788</v>
      </c>
      <c r="E17" s="18" t="s">
        <v>790</v>
      </c>
      <c r="F17" s="18">
        <f t="shared" si="1"/>
        <v>5</v>
      </c>
      <c r="G17" s="18" t="s">
        <v>823</v>
      </c>
    </row>
    <row r="18" ht="19.5" customHeight="1">
      <c r="A18" s="13" t="s">
        <v>824</v>
      </c>
      <c r="B18" s="15" t="s">
        <v>790</v>
      </c>
      <c r="C18" s="15" t="s">
        <v>790</v>
      </c>
      <c r="D18" s="15" t="s">
        <v>789</v>
      </c>
      <c r="E18" s="15" t="s">
        <v>796</v>
      </c>
      <c r="F18" s="15">
        <f t="shared" si="1"/>
        <v>4</v>
      </c>
      <c r="G18" s="15" t="s">
        <v>825</v>
      </c>
    </row>
    <row r="19" ht="19.5" customHeight="1">
      <c r="A19" s="16" t="s">
        <v>826</v>
      </c>
      <c r="B19" s="18" t="s">
        <v>790</v>
      </c>
      <c r="C19" s="18" t="s">
        <v>789</v>
      </c>
      <c r="D19" s="18" t="s">
        <v>788</v>
      </c>
      <c r="E19" s="18" t="s">
        <v>796</v>
      </c>
      <c r="F19" s="18">
        <f t="shared" si="1"/>
        <v>6</v>
      </c>
      <c r="G19" s="18" t="s">
        <v>827</v>
      </c>
    </row>
    <row r="20" ht="21.75" customHeight="1">
      <c r="A20" s="19" t="s">
        <v>33</v>
      </c>
      <c r="B20" s="20">
        <f t="shared" ref="B20:F20" si="2">SUM(B4:B19)</f>
        <v>0</v>
      </c>
      <c r="C20" s="20">
        <f t="shared" si="2"/>
        <v>0</v>
      </c>
      <c r="D20" s="20">
        <f t="shared" si="2"/>
        <v>0</v>
      </c>
      <c r="E20" s="20">
        <f t="shared" si="2"/>
        <v>0</v>
      </c>
      <c r="F20" s="20">
        <f t="shared" si="2"/>
        <v>128</v>
      </c>
      <c r="G20" s="19" t="s">
        <v>828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40.0"/>
    <col customWidth="1" min="4" max="6" width="12.0"/>
    <col customWidth="1" min="7" max="7" width="50.0"/>
    <col customWidth="1" min="8" max="25" width="8.71"/>
  </cols>
  <sheetData>
    <row r="1" ht="27.75" customHeight="1">
      <c r="A1" s="36" t="s">
        <v>829</v>
      </c>
      <c r="B1" s="2"/>
      <c r="C1" s="2"/>
      <c r="D1" s="2"/>
      <c r="E1" s="2"/>
      <c r="F1" s="2"/>
      <c r="G1" s="3"/>
    </row>
    <row r="2" ht="15.75" customHeight="1">
      <c r="A2" s="38" t="s">
        <v>830</v>
      </c>
      <c r="B2" s="2"/>
      <c r="C2" s="2"/>
      <c r="D2" s="2"/>
      <c r="E2" s="2"/>
      <c r="F2" s="2"/>
      <c r="G2" s="3"/>
    </row>
    <row r="3" ht="21.75" customHeight="1">
      <c r="A3" s="39" t="s">
        <v>831</v>
      </c>
      <c r="B3" s="39" t="s">
        <v>14</v>
      </c>
      <c r="C3" s="39" t="s">
        <v>832</v>
      </c>
      <c r="D3" s="39" t="s">
        <v>833</v>
      </c>
      <c r="E3" s="39" t="s">
        <v>834</v>
      </c>
      <c r="F3" s="39" t="s">
        <v>835</v>
      </c>
      <c r="G3" s="39" t="s">
        <v>836</v>
      </c>
    </row>
    <row r="4" ht="42.0" customHeight="1">
      <c r="A4" s="40" t="s">
        <v>790</v>
      </c>
      <c r="B4" s="15" t="s">
        <v>837</v>
      </c>
      <c r="C4" s="40" t="s">
        <v>838</v>
      </c>
      <c r="D4" s="15" t="s">
        <v>839</v>
      </c>
      <c r="E4" s="15" t="s">
        <v>840</v>
      </c>
      <c r="F4" s="14" t="s">
        <v>841</v>
      </c>
      <c r="G4" s="15" t="s">
        <v>842</v>
      </c>
    </row>
    <row r="5" ht="42.0" customHeight="1">
      <c r="A5" s="41" t="s">
        <v>789</v>
      </c>
      <c r="B5" s="18" t="s">
        <v>837</v>
      </c>
      <c r="C5" s="41" t="s">
        <v>843</v>
      </c>
      <c r="D5" s="18" t="s">
        <v>840</v>
      </c>
      <c r="E5" s="18" t="s">
        <v>844</v>
      </c>
      <c r="F5" s="17" t="s">
        <v>845</v>
      </c>
      <c r="G5" s="18" t="s">
        <v>846</v>
      </c>
    </row>
    <row r="6" ht="42.0" customHeight="1">
      <c r="A6" s="40" t="s">
        <v>788</v>
      </c>
      <c r="B6" s="15" t="s">
        <v>837</v>
      </c>
      <c r="C6" s="40" t="s">
        <v>847</v>
      </c>
      <c r="D6" s="15" t="s">
        <v>840</v>
      </c>
      <c r="E6" s="15" t="s">
        <v>844</v>
      </c>
      <c r="F6" s="14" t="s">
        <v>848</v>
      </c>
      <c r="G6" s="15" t="s">
        <v>849</v>
      </c>
    </row>
    <row r="7" ht="42.0" customHeight="1">
      <c r="A7" s="41" t="s">
        <v>793</v>
      </c>
      <c r="B7" s="18" t="s">
        <v>837</v>
      </c>
      <c r="C7" s="41" t="s">
        <v>850</v>
      </c>
      <c r="D7" s="18" t="s">
        <v>851</v>
      </c>
      <c r="E7" s="18" t="s">
        <v>851</v>
      </c>
      <c r="F7" s="17" t="s">
        <v>852</v>
      </c>
      <c r="G7" s="18" t="s">
        <v>853</v>
      </c>
    </row>
    <row r="8" ht="42.0" customHeight="1">
      <c r="A8" s="40" t="s">
        <v>812</v>
      </c>
      <c r="B8" s="15" t="s">
        <v>837</v>
      </c>
      <c r="C8" s="40" t="s">
        <v>854</v>
      </c>
      <c r="D8" s="15" t="s">
        <v>844</v>
      </c>
      <c r="E8" s="15" t="s">
        <v>844</v>
      </c>
      <c r="F8" s="14" t="s">
        <v>855</v>
      </c>
      <c r="G8" s="15" t="s">
        <v>856</v>
      </c>
    </row>
    <row r="9" ht="42.0" customHeight="1">
      <c r="A9" s="41" t="s">
        <v>32</v>
      </c>
      <c r="B9" s="18" t="s">
        <v>857</v>
      </c>
      <c r="C9" s="41" t="s">
        <v>858</v>
      </c>
      <c r="D9" s="18" t="s">
        <v>839</v>
      </c>
      <c r="E9" s="18" t="s">
        <v>840</v>
      </c>
      <c r="F9" s="17" t="s">
        <v>841</v>
      </c>
      <c r="G9" s="18" t="s">
        <v>859</v>
      </c>
    </row>
    <row r="10" ht="42.0" customHeight="1">
      <c r="A10" s="40" t="s">
        <v>809</v>
      </c>
      <c r="B10" s="15" t="s">
        <v>857</v>
      </c>
      <c r="C10" s="40" t="s">
        <v>860</v>
      </c>
      <c r="D10" s="15" t="s">
        <v>839</v>
      </c>
      <c r="E10" s="15" t="s">
        <v>844</v>
      </c>
      <c r="F10" s="14" t="s">
        <v>841</v>
      </c>
      <c r="G10" s="15" t="s">
        <v>861</v>
      </c>
    </row>
    <row r="11" ht="42.0" customHeight="1">
      <c r="A11" s="41" t="s">
        <v>801</v>
      </c>
      <c r="B11" s="18" t="s">
        <v>857</v>
      </c>
      <c r="C11" s="41" t="s">
        <v>862</v>
      </c>
      <c r="D11" s="18" t="s">
        <v>839</v>
      </c>
      <c r="E11" s="18" t="s">
        <v>844</v>
      </c>
      <c r="F11" s="17" t="s">
        <v>841</v>
      </c>
      <c r="G11" s="18" t="s">
        <v>863</v>
      </c>
    </row>
    <row r="12" ht="42.0" customHeight="1">
      <c r="A12" s="40" t="s">
        <v>864</v>
      </c>
      <c r="B12" s="15" t="s">
        <v>857</v>
      </c>
      <c r="C12" s="40" t="s">
        <v>865</v>
      </c>
      <c r="D12" s="15" t="s">
        <v>840</v>
      </c>
      <c r="E12" s="15" t="s">
        <v>844</v>
      </c>
      <c r="F12" s="14" t="s">
        <v>848</v>
      </c>
      <c r="G12" s="15" t="s">
        <v>866</v>
      </c>
    </row>
    <row r="13" ht="42.0" customHeight="1">
      <c r="A13" s="41" t="s">
        <v>867</v>
      </c>
      <c r="B13" s="18" t="s">
        <v>857</v>
      </c>
      <c r="C13" s="41" t="s">
        <v>868</v>
      </c>
      <c r="D13" s="18" t="s">
        <v>844</v>
      </c>
      <c r="E13" s="18" t="s">
        <v>851</v>
      </c>
      <c r="F13" s="17" t="s">
        <v>855</v>
      </c>
      <c r="G13" s="18" t="s">
        <v>869</v>
      </c>
    </row>
    <row r="14" ht="42.0" customHeight="1">
      <c r="A14" s="40" t="s">
        <v>26</v>
      </c>
      <c r="B14" s="15" t="s">
        <v>27</v>
      </c>
      <c r="C14" s="40" t="s">
        <v>870</v>
      </c>
      <c r="D14" s="15" t="s">
        <v>839</v>
      </c>
      <c r="E14" s="15" t="s">
        <v>844</v>
      </c>
      <c r="F14" s="14" t="s">
        <v>841</v>
      </c>
      <c r="G14" s="15" t="s">
        <v>871</v>
      </c>
    </row>
    <row r="15" ht="42.0" customHeight="1">
      <c r="A15" s="41" t="s">
        <v>23</v>
      </c>
      <c r="B15" s="18" t="s">
        <v>27</v>
      </c>
      <c r="C15" s="41" t="s">
        <v>872</v>
      </c>
      <c r="D15" s="18" t="s">
        <v>840</v>
      </c>
      <c r="E15" s="18" t="s">
        <v>844</v>
      </c>
      <c r="F15" s="17" t="s">
        <v>848</v>
      </c>
      <c r="G15" s="18" t="s">
        <v>873</v>
      </c>
    </row>
    <row r="16" ht="42.0" customHeight="1">
      <c r="A16" s="40" t="s">
        <v>874</v>
      </c>
      <c r="B16" s="15" t="s">
        <v>27</v>
      </c>
      <c r="C16" s="40" t="s">
        <v>875</v>
      </c>
      <c r="D16" s="15" t="s">
        <v>840</v>
      </c>
      <c r="E16" s="15" t="s">
        <v>844</v>
      </c>
      <c r="F16" s="14" t="s">
        <v>848</v>
      </c>
      <c r="G16" s="15" t="s">
        <v>876</v>
      </c>
    </row>
    <row r="17" ht="42.0" customHeight="1">
      <c r="A17" s="41" t="s">
        <v>877</v>
      </c>
      <c r="B17" s="18" t="s">
        <v>27</v>
      </c>
      <c r="C17" s="41" t="s">
        <v>878</v>
      </c>
      <c r="D17" s="18" t="s">
        <v>840</v>
      </c>
      <c r="E17" s="18" t="s">
        <v>851</v>
      </c>
      <c r="F17" s="17" t="s">
        <v>848</v>
      </c>
      <c r="G17" s="18" t="s">
        <v>879</v>
      </c>
    </row>
    <row r="18" ht="42.0" customHeight="1">
      <c r="A18" s="40" t="s">
        <v>804</v>
      </c>
      <c r="B18" s="15" t="s">
        <v>27</v>
      </c>
      <c r="C18" s="40" t="s">
        <v>880</v>
      </c>
      <c r="D18" s="15" t="s">
        <v>844</v>
      </c>
      <c r="E18" s="15" t="s">
        <v>844</v>
      </c>
      <c r="F18" s="14" t="s">
        <v>855</v>
      </c>
      <c r="G18" s="15" t="s">
        <v>881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